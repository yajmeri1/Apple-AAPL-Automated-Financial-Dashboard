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13068d1f3e29ba/Desktop/AAPL Stock Project/excel/"/>
    </mc:Choice>
  </mc:AlternateContent>
  <xr:revisionPtr revIDLastSave="987" documentId="8_{70A4EAA3-0E76-4808-98D3-513FD0A5D091}" xr6:coauthVersionLast="47" xr6:coauthVersionMax="47" xr10:uidLastSave="{C639A8A9-3B34-53FA-B596-E351BB082824}"/>
  <bookViews>
    <workbookView xWindow="-108" yWindow="-108" windowWidth="23256" windowHeight="12456" firstSheet="3" activeTab="8" xr2:uid="{8D98FA6B-5ADC-464A-A9DA-374BEF9AFA10}"/>
  </bookViews>
  <sheets>
    <sheet name="Balance_raw" sheetId="1" r:id="rId1"/>
    <sheet name="Cashflow_raw" sheetId="3" r:id="rId2"/>
    <sheet name="Income_raw" sheetId="5" r:id="rId3"/>
    <sheet name="Balance_clean" sheetId="2" r:id="rId4"/>
    <sheet name="Cashflow_clean" sheetId="4" r:id="rId5"/>
    <sheet name="Income_clean" sheetId="6" r:id="rId6"/>
    <sheet name="KPI" sheetId="7" r:id="rId7"/>
    <sheet name="Forecast + Dynamic Dashboard" sheetId="8" r:id="rId8"/>
    <sheet name="Dashboar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8" l="1"/>
  <c r="J8" i="8"/>
  <c r="K6" i="8"/>
  <c r="K5" i="8"/>
  <c r="K4" i="8"/>
  <c r="K3" i="8"/>
  <c r="K2" i="8"/>
  <c r="J6" i="8"/>
  <c r="J5" i="8"/>
  <c r="J4" i="8"/>
  <c r="J3" i="8"/>
  <c r="J2" i="8"/>
  <c r="B9" i="8"/>
  <c r="B7" i="8"/>
  <c r="B8" i="8" s="1"/>
  <c r="C3" i="8"/>
  <c r="B4" i="8"/>
  <c r="B3" i="8" s="1"/>
  <c r="B2" i="8"/>
  <c r="B10" i="8" s="1"/>
  <c r="C6" i="7"/>
  <c r="D6" i="7"/>
  <c r="E6" i="7"/>
  <c r="B6" i="7"/>
  <c r="C5" i="7"/>
  <c r="D5" i="7"/>
  <c r="E5" i="7"/>
  <c r="B5" i="7"/>
  <c r="C4" i="7"/>
  <c r="D4" i="7"/>
  <c r="E4" i="7"/>
  <c r="B4" i="7"/>
  <c r="C3" i="7"/>
  <c r="D3" i="7"/>
  <c r="E3" i="7"/>
  <c r="B3" i="7"/>
  <c r="D2" i="7"/>
  <c r="E2" i="7"/>
  <c r="C2" i="7"/>
  <c r="E21" i="6"/>
  <c r="D21" i="6"/>
  <c r="C21" i="6"/>
  <c r="B21" i="6"/>
  <c r="E11" i="6"/>
  <c r="D11" i="6"/>
  <c r="C11" i="6"/>
  <c r="B11" i="6"/>
  <c r="C9" i="6"/>
  <c r="D9" i="6"/>
  <c r="E9" i="6"/>
  <c r="B9" i="6"/>
  <c r="E7" i="6"/>
  <c r="D7" i="6"/>
  <c r="C7" i="6"/>
  <c r="B7" i="6"/>
  <c r="B4" i="6"/>
  <c r="B14" i="6"/>
  <c r="C14" i="6"/>
  <c r="B15" i="6"/>
  <c r="C15" i="6"/>
  <c r="C16" i="6" s="1"/>
  <c r="D15" i="6"/>
  <c r="E15" i="6"/>
  <c r="B16" i="6"/>
  <c r="D16" i="6"/>
  <c r="E16" i="6"/>
  <c r="B18" i="6"/>
  <c r="C18" i="6"/>
  <c r="D18" i="6"/>
  <c r="E18" i="6"/>
  <c r="B19" i="6"/>
  <c r="C19" i="6"/>
  <c r="D19" i="6"/>
  <c r="E19" i="6"/>
  <c r="E3" i="6"/>
  <c r="D3" i="6"/>
  <c r="C3" i="6"/>
  <c r="B3" i="6"/>
  <c r="K2" i="5"/>
  <c r="E4" i="6"/>
  <c r="D4" i="6"/>
  <c r="C4" i="6"/>
  <c r="E2" i="6"/>
  <c r="D2" i="6"/>
  <c r="C2" i="6"/>
  <c r="B2" i="6"/>
  <c r="D20" i="4"/>
  <c r="E20" i="4"/>
  <c r="C20" i="4"/>
  <c r="E22" i="4"/>
  <c r="E21" i="4"/>
  <c r="D22" i="4"/>
  <c r="D21" i="4"/>
  <c r="C22" i="4"/>
  <c r="C21" i="4"/>
  <c r="B22" i="4"/>
  <c r="C9" i="4"/>
  <c r="D9" i="4"/>
  <c r="E9" i="4"/>
  <c r="B9" i="4"/>
  <c r="E3" i="4"/>
  <c r="D3" i="4"/>
  <c r="C3" i="4"/>
  <c r="B3" i="4"/>
  <c r="C13" i="4"/>
  <c r="D13" i="4"/>
  <c r="E13" i="4"/>
  <c r="B13" i="4"/>
  <c r="E5" i="4"/>
  <c r="D5" i="4"/>
  <c r="C5" i="4"/>
  <c r="B5" i="4"/>
  <c r="C19" i="4"/>
  <c r="D19" i="4"/>
  <c r="E19" i="4"/>
  <c r="B19" i="4"/>
  <c r="E18" i="4"/>
  <c r="D18" i="4"/>
  <c r="C18" i="4"/>
  <c r="B18" i="4"/>
  <c r="E17" i="4"/>
  <c r="D17" i="4"/>
  <c r="C17" i="4"/>
  <c r="B17" i="4"/>
  <c r="E15" i="4"/>
  <c r="D15" i="4"/>
  <c r="C15" i="4"/>
  <c r="B15" i="4"/>
  <c r="E16" i="4"/>
  <c r="D16" i="4"/>
  <c r="C16" i="4"/>
  <c r="B16" i="4"/>
  <c r="E12" i="4"/>
  <c r="D12" i="4"/>
  <c r="C12" i="4"/>
  <c r="B12" i="4"/>
  <c r="E11" i="4"/>
  <c r="D11" i="4"/>
  <c r="C11" i="4"/>
  <c r="B11" i="4"/>
  <c r="E6" i="4"/>
  <c r="D6" i="4"/>
  <c r="C6" i="4"/>
  <c r="B6" i="4"/>
  <c r="E7" i="4"/>
  <c r="D7" i="4"/>
  <c r="C7" i="4"/>
  <c r="B7" i="4"/>
  <c r="E8" i="4"/>
  <c r="D8" i="4"/>
  <c r="C8" i="4"/>
  <c r="B8" i="4"/>
  <c r="E4" i="4"/>
  <c r="D4" i="4"/>
  <c r="C4" i="4"/>
  <c r="B4" i="4"/>
  <c r="C27" i="2"/>
  <c r="D27" i="2"/>
  <c r="E27" i="2"/>
  <c r="B27" i="2"/>
  <c r="B25" i="2"/>
  <c r="E26" i="2"/>
  <c r="D26" i="2"/>
  <c r="C26" i="2"/>
  <c r="B26" i="2"/>
  <c r="E25" i="2"/>
  <c r="D25" i="2"/>
  <c r="C25" i="2"/>
  <c r="C23" i="2"/>
  <c r="D23" i="2"/>
  <c r="E23" i="2"/>
  <c r="B23" i="2"/>
  <c r="C17" i="2"/>
  <c r="D17" i="2"/>
  <c r="E17" i="2"/>
  <c r="B17" i="2"/>
  <c r="E16" i="2"/>
  <c r="D16" i="2"/>
  <c r="C16" i="2"/>
  <c r="B16" i="2"/>
  <c r="BS3" i="1"/>
  <c r="BS4" i="1"/>
  <c r="BS5" i="1"/>
  <c r="BS2" i="1"/>
  <c r="C21" i="2"/>
  <c r="D21" i="2"/>
  <c r="E21" i="2"/>
  <c r="B21" i="2"/>
  <c r="E20" i="2"/>
  <c r="D20" i="2"/>
  <c r="C20" i="2"/>
  <c r="B20" i="2"/>
  <c r="E19" i="2"/>
  <c r="D19" i="2"/>
  <c r="C19" i="2"/>
  <c r="B19" i="2"/>
  <c r="E15" i="2"/>
  <c r="D15" i="2"/>
  <c r="C15" i="2"/>
  <c r="B15" i="2"/>
  <c r="B14" i="2"/>
  <c r="AL5" i="1"/>
  <c r="AL4" i="1"/>
  <c r="AL3" i="1"/>
  <c r="E14" i="2"/>
  <c r="D14" i="2"/>
  <c r="C14" i="2"/>
  <c r="C12" i="2"/>
  <c r="D12" i="2"/>
  <c r="E12" i="2"/>
  <c r="B12" i="2"/>
  <c r="C10" i="2"/>
  <c r="D10" i="2"/>
  <c r="E10" i="2"/>
  <c r="B10" i="2"/>
  <c r="E9" i="2"/>
  <c r="D9" i="2"/>
  <c r="C9" i="2"/>
  <c r="B9" i="2"/>
  <c r="E8" i="2"/>
  <c r="D8" i="2"/>
  <c r="C8" i="2"/>
  <c r="B8" i="2"/>
  <c r="C6" i="2"/>
  <c r="D6" i="2"/>
  <c r="E6" i="2"/>
  <c r="B6" i="2"/>
  <c r="E5" i="2"/>
  <c r="D5" i="2"/>
  <c r="C5" i="2"/>
  <c r="B5" i="2"/>
  <c r="E4" i="2"/>
  <c r="D4" i="2"/>
  <c r="C4" i="2"/>
  <c r="B4" i="2"/>
  <c r="B2" i="2"/>
  <c r="B3" i="2"/>
  <c r="C3" i="2"/>
  <c r="D3" i="2"/>
  <c r="E3" i="2"/>
  <c r="C2" i="2"/>
  <c r="D2" i="2"/>
  <c r="E2" i="2"/>
  <c r="C10" i="8" l="1"/>
  <c r="C8" i="8"/>
  <c r="C2" i="8"/>
  <c r="B6" i="8"/>
  <c r="B5" i="8" s="1"/>
  <c r="C7" i="8" l="1"/>
  <c r="D8" i="8" s="1"/>
  <c r="D2" i="8"/>
  <c r="C9" i="8"/>
  <c r="D10" i="8" s="1"/>
  <c r="C4" i="8"/>
  <c r="C6" i="8" s="1"/>
  <c r="C5" i="8" s="1"/>
  <c r="D7" i="8" l="1"/>
  <c r="E8" i="8" s="1"/>
  <c r="D9" i="8"/>
  <c r="E10" i="8" s="1"/>
  <c r="E2" i="8"/>
  <c r="D4" i="8"/>
  <c r="D3" i="8" s="1"/>
  <c r="E7" i="8" l="1"/>
  <c r="F8" i="8" s="1"/>
  <c r="E4" i="8"/>
  <c r="E3" i="8" s="1"/>
  <c r="E6" i="8"/>
  <c r="E5" i="8" s="1"/>
  <c r="E9" i="8"/>
  <c r="F10" i="8" s="1"/>
  <c r="F2" i="8"/>
  <c r="D6" i="8"/>
  <c r="D5" i="8" s="1"/>
  <c r="G2" i="8" l="1"/>
  <c r="F7" i="8"/>
  <c r="G8" i="8" s="1"/>
  <c r="F4" i="8"/>
  <c r="F3" i="8" s="1"/>
  <c r="G4" i="8" s="1"/>
  <c r="G3" i="8" s="1"/>
  <c r="F6" i="8"/>
  <c r="F5" i="8" s="1"/>
  <c r="F9" i="8"/>
  <c r="G10" i="8" s="1"/>
  <c r="G7" i="8" l="1"/>
  <c r="G9" i="8"/>
  <c r="G6" i="8"/>
  <c r="G5" i="8" s="1"/>
</calcChain>
</file>

<file path=xl/sharedStrings.xml><?xml version="1.0" encoding="utf-8"?>
<sst xmlns="http://schemas.openxmlformats.org/spreadsheetml/2006/main" count="246" uniqueCount="225">
  <si>
    <t>Treasury Shares Number</t>
  </si>
  <si>
    <t>Ordinary Shares Number</t>
  </si>
  <si>
    <t>Share Issued</t>
  </si>
  <si>
    <t>Net Debt</t>
  </si>
  <si>
    <t>Total Debt</t>
  </si>
  <si>
    <t>Tangible Book Value</t>
  </si>
  <si>
    <t>Invested Capital</t>
  </si>
  <si>
    <t>Working Capital</t>
  </si>
  <si>
    <t>Net Tangible Assets</t>
  </si>
  <si>
    <t>Capital Lease Obligations</t>
  </si>
  <si>
    <t>Common Stock Equity</t>
  </si>
  <si>
    <t>Total Capitalization</t>
  </si>
  <si>
    <t>Total Equity Gross Minority Interest</t>
  </si>
  <si>
    <t>Stockholders Equity</t>
  </si>
  <si>
    <t>Gains Losses Not Affecting Retained Earnings</t>
  </si>
  <si>
    <t>Other Equity Adjustments</t>
  </si>
  <si>
    <t>Retained Earnings</t>
  </si>
  <si>
    <t>Capital Stock</t>
  </si>
  <si>
    <t>Common Stock</t>
  </si>
  <si>
    <t>Total Liabilities Net Minority Interest</t>
  </si>
  <si>
    <t>Total Non Current Liabilities Net Minority Interest</t>
  </si>
  <si>
    <t>Other Non Current Liabilities</t>
  </si>
  <si>
    <t>Tradeand Other Payables Non Current</t>
  </si>
  <si>
    <t>Long Term Debt And Capital Lease Obligation</t>
  </si>
  <si>
    <t>Long Term Capital Lease Obligation</t>
  </si>
  <si>
    <t>Long Term Debt</t>
  </si>
  <si>
    <t>Current Liabilities</t>
  </si>
  <si>
    <t>Other Current Liabilities</t>
  </si>
  <si>
    <t>Current Deferred Liabilities</t>
  </si>
  <si>
    <t>Current Deferred Revenue</t>
  </si>
  <si>
    <t>Current Debt And Capital Lease Obligation</t>
  </si>
  <si>
    <t>Current Capital Lease Obligation</t>
  </si>
  <si>
    <t>Current Debt</t>
  </si>
  <si>
    <t>Other Current Borrowings</t>
  </si>
  <si>
    <t>Commercial Paper</t>
  </si>
  <si>
    <t>Payables And Accrued Expenses</t>
  </si>
  <si>
    <t>Current Accrued Expenses</t>
  </si>
  <si>
    <t>Payables</t>
  </si>
  <si>
    <t>Total Tax Payable</t>
  </si>
  <si>
    <t>Income Tax Payable</t>
  </si>
  <si>
    <t>Accounts Payable</t>
  </si>
  <si>
    <t>Total Assets</t>
  </si>
  <si>
    <t>Total Non Current Assets</t>
  </si>
  <si>
    <t>Other Non Current Assets</t>
  </si>
  <si>
    <t>Non Current Deferred Assets</t>
  </si>
  <si>
    <t>Non Current Deferred Taxes Assets</t>
  </si>
  <si>
    <t>Investments And Advances</t>
  </si>
  <si>
    <t>Other Investments</t>
  </si>
  <si>
    <t>Investmentin Financial Assets</t>
  </si>
  <si>
    <t>Available For Sale Securities</t>
  </si>
  <si>
    <t>Net PPE</t>
  </si>
  <si>
    <t>Accumulated Depreciation</t>
  </si>
  <si>
    <t>Gross PPE</t>
  </si>
  <si>
    <t>Leases</t>
  </si>
  <si>
    <t>Other Properties</t>
  </si>
  <si>
    <t>Machinery Furniture Equipment</t>
  </si>
  <si>
    <t>Land And Improvements</t>
  </si>
  <si>
    <t>Properties</t>
  </si>
  <si>
    <t>Current Assets</t>
  </si>
  <si>
    <t>Other Current Assets</t>
  </si>
  <si>
    <t>Inventory</t>
  </si>
  <si>
    <t>Receivables</t>
  </si>
  <si>
    <t>Other Receivables</t>
  </si>
  <si>
    <t>Accounts Receivable</t>
  </si>
  <si>
    <t>Cash Cash Equivalents And Short Term Investments</t>
  </si>
  <si>
    <t>Other Short Term Investments</t>
  </si>
  <si>
    <t>Cash And Cash Equivalents</t>
  </si>
  <si>
    <t>Cash Equivalents</t>
  </si>
  <si>
    <t>Cash Financial</t>
  </si>
  <si>
    <t>Line Item</t>
  </si>
  <si>
    <t>Cash &amp; Cash Equivalents</t>
  </si>
  <si>
    <t>Total Current Assets</t>
  </si>
  <si>
    <t>Property, Plant &amp; Equipment (Net)</t>
  </si>
  <si>
    <t>Other Non-Current Assets</t>
  </si>
  <si>
    <t>Total Non-Current Assets</t>
  </si>
  <si>
    <t>Accrued Expenses</t>
  </si>
  <si>
    <t>Short-Term Debt</t>
  </si>
  <si>
    <t>Total Current Liabilities</t>
  </si>
  <si>
    <t>Long-Term Debt</t>
  </si>
  <si>
    <t>Other Non-Current Liabilities</t>
  </si>
  <si>
    <t>Total Non-Current Liabilities</t>
  </si>
  <si>
    <t>Total Liabilities</t>
  </si>
  <si>
    <t>Total Stockholders’ Equity</t>
  </si>
  <si>
    <t>Short Term Debt</t>
  </si>
  <si>
    <t>Free Cash Flow</t>
  </si>
  <si>
    <t>Repurchase Of Capital Stock</t>
  </si>
  <si>
    <t>Repayment Of Debt</t>
  </si>
  <si>
    <t>Issuance Of Debt</t>
  </si>
  <si>
    <t>Issuance Of Capital Stock</t>
  </si>
  <si>
    <t>Capital Expenditure</t>
  </si>
  <si>
    <t>Interest Paid Supplemental Data</t>
  </si>
  <si>
    <t>Income Tax Paid Supplemental Data</t>
  </si>
  <si>
    <t>End Cash Position</t>
  </si>
  <si>
    <t>Beginning Cash Position</t>
  </si>
  <si>
    <t>Changes In Cash</t>
  </si>
  <si>
    <t>Financing Cash Flow</t>
  </si>
  <si>
    <t>Cash Flow From Continuing Financing Activities</t>
  </si>
  <si>
    <t>Net Other Financing Charges</t>
  </si>
  <si>
    <t>Cash Dividends Paid</t>
  </si>
  <si>
    <t>Common Stock Dividend Paid</t>
  </si>
  <si>
    <t>Net Common Stock Issuance</t>
  </si>
  <si>
    <t>Common Stock Payments</t>
  </si>
  <si>
    <t>Common Stock Issuance</t>
  </si>
  <si>
    <t>Net Issuance Payments Of Debt</t>
  </si>
  <si>
    <t>Net Short Term Debt Issuance</t>
  </si>
  <si>
    <t>Net Long Term Debt Issuance</t>
  </si>
  <si>
    <t>Long Term Debt Payments</t>
  </si>
  <si>
    <t>Long Term Debt Issuance</t>
  </si>
  <si>
    <t>Investing Cash Flow</t>
  </si>
  <si>
    <t>Cash Flow From Continuing Investing Activities</t>
  </si>
  <si>
    <t>Net Other Investing Changes</t>
  </si>
  <si>
    <t>Net Investment Purchase And Sale</t>
  </si>
  <si>
    <t>Sale Of Investment</t>
  </si>
  <si>
    <t>Purchase Of Investment</t>
  </si>
  <si>
    <t>Net Business Purchase And Sale</t>
  </si>
  <si>
    <t>Purchase Of Business</t>
  </si>
  <si>
    <t>Net PPE Purchase And Sale</t>
  </si>
  <si>
    <t>Purchase Of PPE</t>
  </si>
  <si>
    <t>Operating Cash Flow</t>
  </si>
  <si>
    <t>Cash Flow From Continuing Operating Activities</t>
  </si>
  <si>
    <t>Change In Working Capital</t>
  </si>
  <si>
    <t>Change In Other Working Capital</t>
  </si>
  <si>
    <t>Change In Other Current Liabilities</t>
  </si>
  <si>
    <t>Change In Other Current Assets</t>
  </si>
  <si>
    <t>Change In Payables And Accrued Expense</t>
  </si>
  <si>
    <t>Change In Payable</t>
  </si>
  <si>
    <t>Change In Account Payable</t>
  </si>
  <si>
    <t>Change In Inventory</t>
  </si>
  <si>
    <t>Change In Receivables</t>
  </si>
  <si>
    <t>Changes In Account Receivables</t>
  </si>
  <si>
    <t>Other Non Cash Items</t>
  </si>
  <si>
    <t>Stock Based Compensation</t>
  </si>
  <si>
    <t>Deferred Tax</t>
  </si>
  <si>
    <t>Deferred Income Tax</t>
  </si>
  <si>
    <t>Depreciation Amortization Depletion</t>
  </si>
  <si>
    <t>Depreciation And Amortization</t>
  </si>
  <si>
    <t>Net Income From Continuing Operations</t>
  </si>
  <si>
    <t>Item</t>
  </si>
  <si>
    <t>Cash Flow from Operating Activities</t>
  </si>
  <si>
    <t>Net Income</t>
  </si>
  <si>
    <t>Depreciation &amp; Amortization</t>
  </si>
  <si>
    <t>Stock Compensation</t>
  </si>
  <si>
    <t>ΔAccounts Receivable</t>
  </si>
  <si>
    <t>ΔInventory</t>
  </si>
  <si>
    <t>ΔAccounts Payable</t>
  </si>
  <si>
    <t>Net CFO</t>
  </si>
  <si>
    <t>Cash Flow from Investing Activities</t>
  </si>
  <si>
    <t>CapEx</t>
  </si>
  <si>
    <t>Asset Sales / Investments</t>
  </si>
  <si>
    <t>Net CFI</t>
  </si>
  <si>
    <t>Cash Flow from Financing Activities</t>
  </si>
  <si>
    <t>Debt Issued</t>
  </si>
  <si>
    <t>Debt Repaid</t>
  </si>
  <si>
    <t>Dividends Paid</t>
  </si>
  <si>
    <t>Stock Repurchased</t>
  </si>
  <si>
    <t>Net CFF</t>
  </si>
  <si>
    <t>Net Change in Cash</t>
  </si>
  <si>
    <t>Beginning Cash</t>
  </si>
  <si>
    <t>Ending Cash</t>
  </si>
  <si>
    <t>Tax Effect Of Unusual Items</t>
  </si>
  <si>
    <t>Tax Rate For Calcs</t>
  </si>
  <si>
    <t>Normalized EBITDA</t>
  </si>
  <si>
    <t>Net Income From Continuing Operation Net Minority Interest</t>
  </si>
  <si>
    <t>Reconciled Depreciation</t>
  </si>
  <si>
    <t>Reconciled Cost Of Revenue</t>
  </si>
  <si>
    <t>EBITDA</t>
  </si>
  <si>
    <t>EBIT</t>
  </si>
  <si>
    <t>Net Interest Income</t>
  </si>
  <si>
    <t>Interest Expense</t>
  </si>
  <si>
    <t>Interest Income</t>
  </si>
  <si>
    <t>Normalized Income</t>
  </si>
  <si>
    <t>Net Income From Continuing And Discontinued Operation</t>
  </si>
  <si>
    <t>Total Expenses</t>
  </si>
  <si>
    <t>Total Operating Income As Reported</t>
  </si>
  <si>
    <t>Diluted Average Shares</t>
  </si>
  <si>
    <t>Basic Average Shares</t>
  </si>
  <si>
    <t>Diluted EPS</t>
  </si>
  <si>
    <t>Basic EPS</t>
  </si>
  <si>
    <t>Diluted NI Availto Com Stockholders</t>
  </si>
  <si>
    <t>Net Income Common Stockholders</t>
  </si>
  <si>
    <t>Net Income Including Noncontrolling Interests</t>
  </si>
  <si>
    <t>Net Income Continuous Operations</t>
  </si>
  <si>
    <t>Tax Provision</t>
  </si>
  <si>
    <t>Pretax Income</t>
  </si>
  <si>
    <t>Other Income Expense</t>
  </si>
  <si>
    <t>Other Non Operating Income Expenses</t>
  </si>
  <si>
    <t>Net Non Operating Interest Income Expense</t>
  </si>
  <si>
    <t>Interest Expense Non Operating</t>
  </si>
  <si>
    <t>Interest Income Non Operating</t>
  </si>
  <si>
    <t>Operating Income</t>
  </si>
  <si>
    <t>Operating Expense</t>
  </si>
  <si>
    <t>Research And Development</t>
  </si>
  <si>
    <t>Selling General And Administration</t>
  </si>
  <si>
    <t>Gross Profit</t>
  </si>
  <si>
    <t>Cost Of Revenue</t>
  </si>
  <si>
    <t>Total Revenue</t>
  </si>
  <si>
    <t>Operating Revenue</t>
  </si>
  <si>
    <t>Revenue</t>
  </si>
  <si>
    <t>Cost of Goods Sold (COGS)</t>
  </si>
  <si>
    <t>Operating Expenses:</t>
  </si>
  <si>
    <t>Total Operating Expenses</t>
  </si>
  <si>
    <t>Other Income/Expenses:</t>
  </si>
  <si>
    <t xml:space="preserve">  Interest Expense</t>
  </si>
  <si>
    <t xml:space="preserve">  Other Income</t>
  </si>
  <si>
    <t>Total Other Income/Expenses</t>
  </si>
  <si>
    <t>Income Before Tax</t>
  </si>
  <si>
    <t>Income Tax Expense</t>
  </si>
  <si>
    <t xml:space="preserve">  Selling General &amp; Administrative Expenses</t>
  </si>
  <si>
    <t>KPI's</t>
  </si>
  <si>
    <t>Revenue Growth</t>
  </si>
  <si>
    <t>Gross Margin</t>
  </si>
  <si>
    <t>Operating Margin</t>
  </si>
  <si>
    <t>Net Margin</t>
  </si>
  <si>
    <t>COGS %</t>
  </si>
  <si>
    <t xml:space="preserve">COGS </t>
  </si>
  <si>
    <t>FCF %</t>
  </si>
  <si>
    <t>FCF</t>
  </si>
  <si>
    <t>Gross Margin %</t>
  </si>
  <si>
    <t>Operating Margin %</t>
  </si>
  <si>
    <t>Year</t>
  </si>
  <si>
    <t>Revenue CAGR</t>
  </si>
  <si>
    <t>Metric</t>
  </si>
  <si>
    <t>Value</t>
  </si>
  <si>
    <t>Free Cash Flow CAGR</t>
  </si>
  <si>
    <t>Average Free Cash Flow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</si>
</sst>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1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0" fontId="0" fillId="0" borderId="1" xfId="0" applyNumberFormat="1" applyBorder="1"/>
    <xf numFmtId="0" fontId="2" fillId="3" borderId="1" xfId="0" applyFont="1" applyFill="1" applyBorder="1"/>
    <xf numFmtId="10" fontId="2" fillId="2" borderId="1" xfId="0" applyNumberFormat="1" applyFont="1" applyFill="1" applyBorder="1"/>
    <xf numFmtId="2" fontId="2" fillId="2" borderId="1" xfId="0" applyNumberFormat="1" applyFont="1" applyFill="1" applyBorder="1"/>
    <xf numFmtId="164" fontId="0" fillId="0" borderId="1" xfId="0" applyNumberFormat="1" applyBorder="1"/>
    <xf numFmtId="0" fontId="2" fillId="4" borderId="1" xfId="0" applyFont="1" applyFill="1" applyBorder="1"/>
    <xf numFmtId="2" fontId="0" fillId="4" borderId="1" xfId="0" applyNumberFormat="1" applyFill="1" applyBorder="1"/>
    <xf numFmtId="10" fontId="0" fillId="4" borderId="1" xfId="0" applyNumberFormat="1" applyFill="1" applyBorder="1"/>
    <xf numFmtId="0" fontId="2" fillId="3" borderId="0" xfId="0" applyFont="1" applyFill="1"/>
    <xf numFmtId="0" fontId="0" fillId="3" borderId="1" xfId="0" applyFill="1" applyBorder="1"/>
    <xf numFmtId="10" fontId="0" fillId="0" borderId="0" xfId="0" applyNumberFormat="1"/>
    <xf numFmtId="10" fontId="0" fillId="0" borderId="1" xfId="1" applyNumberFormat="1" applyFont="1" applyBorder="1"/>
    <xf numFmtId="0" fontId="2" fillId="3" borderId="0" xfId="0" applyFont="1" applyFill="1" applyAlignment="1">
      <alignment horizontal="left" indent="5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FCF In Year (X)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'Forecast + Dynamic Dashboard'!$I$8:$I$9</c:f>
              <c:strCache>
                <c:ptCount val="2"/>
                <c:pt idx="0">
                  <c:v>Revenue</c:v>
                </c:pt>
                <c:pt idx="1">
                  <c:v>Free Cash Flow</c:v>
                </c:pt>
              </c:strCache>
            </c:strRef>
          </c:cat>
          <c:val>
            <c:numRef>
              <c:f>'Forecast + Dynamic Dashboard'!$J$8:$J$9</c:f>
              <c:numCache>
                <c:formatCode>"$"#,##0.00</c:formatCode>
                <c:ptCount val="2"/>
                <c:pt idx="0">
                  <c:v>505846296506.25</c:v>
                </c:pt>
                <c:pt idx="1">
                  <c:v>176134148662.5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0-4FFF-B8D5-552025B5B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520175"/>
        <c:axId val="588524495"/>
      </c:barChart>
      <c:catAx>
        <c:axId val="58852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24495"/>
        <c:crosses val="autoZero"/>
        <c:auto val="1"/>
        <c:lblAlgn val="ctr"/>
        <c:lblOffset val="100"/>
        <c:noMultiLvlLbl val="0"/>
      </c:catAx>
      <c:valAx>
        <c:axId val="58852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520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Forecast 2025-2030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+ Dynamic Dashboard'!$A$2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+ Dynamic Dashboard'!$B$1:$G$1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'Forecast + Dynamic Dashboard'!$B$2:$G$2</c:f>
              <c:numCache>
                <c:formatCode>0.00</c:formatCode>
                <c:ptCount val="6"/>
                <c:pt idx="0">
                  <c:v>416161000000</c:v>
                </c:pt>
                <c:pt idx="1">
                  <c:v>436969050000</c:v>
                </c:pt>
                <c:pt idx="2">
                  <c:v>458817502500</c:v>
                </c:pt>
                <c:pt idx="3">
                  <c:v>481758377625</c:v>
                </c:pt>
                <c:pt idx="4">
                  <c:v>505846296506.25</c:v>
                </c:pt>
                <c:pt idx="5">
                  <c:v>531138611331.5625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22-4877-837D-DB63B12E4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9505712"/>
        <c:axId val="1419489392"/>
      </c:lineChart>
      <c:catAx>
        <c:axId val="141950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489392"/>
        <c:crosses val="autoZero"/>
        <c:auto val="1"/>
        <c:lblAlgn val="ctr"/>
        <c:lblOffset val="100"/>
        <c:noMultiLvlLbl val="0"/>
      </c:catAx>
      <c:valAx>
        <c:axId val="141948939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505712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9444444444444445E-2"/>
                <c:y val="0.25967592592592598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Revnue in Billions ($)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</a:t>
            </a:r>
            <a:r>
              <a:rPr lang="en-US" baseline="0"/>
              <a:t> Cash Flow Forecast 2025-2030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 + Dynamic Dashboard'!$A$9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+ Dynamic Dashboard'!$B$1:$G$1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cat>
          <c:val>
            <c:numRef>
              <c:f>'Forecast + Dynamic Dashboard'!$B$9:$G$9</c:f>
              <c:numCache>
                <c:formatCode>0.00</c:formatCode>
                <c:ptCount val="6"/>
                <c:pt idx="0">
                  <c:v>144906000000</c:v>
                </c:pt>
                <c:pt idx="1">
                  <c:v>152151300000</c:v>
                </c:pt>
                <c:pt idx="2">
                  <c:v>159758865000</c:v>
                </c:pt>
                <c:pt idx="3">
                  <c:v>167746808250</c:v>
                </c:pt>
                <c:pt idx="4">
                  <c:v>176134148662.5</c:v>
                </c:pt>
                <c:pt idx="5">
                  <c:v>184940856095.625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B-4D5A-BA6E-510F575BB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3413072"/>
        <c:axId val="2083412112"/>
      </c:lineChart>
      <c:catAx>
        <c:axId val="208341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12112"/>
        <c:crosses val="autoZero"/>
        <c:auto val="1"/>
        <c:lblAlgn val="ctr"/>
        <c:lblOffset val="100"/>
        <c:noMultiLvlLbl val="0"/>
      </c:catAx>
      <c:valAx>
        <c:axId val="2083412112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413072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2.7777777777777776E-2"/>
                <c:y val="0.23652777777777778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 Free Cash Flow in Billions ($)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1040027</xdr:colOff>
      <xdr:row>11</xdr:row>
      <xdr:rowOff>18535</xdr:rowOff>
    </xdr:from>
    <xdr:to>
      <xdr:col>11</xdr:col>
      <xdr:colOff>30892</xdr:colOff>
      <xdr:row>26</xdr:row>
      <xdr:rowOff>51487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D459E-1A79-A21C-4213-2A3E091DB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3</xdr:row>
      <xdr:rowOff>68580</xdr:rowOff>
    </xdr:from>
    <xdr:to>
      <xdr:col>9</xdr:col>
      <xdr:colOff>129540</xdr:colOff>
      <xdr:row>18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FAD7CF-D92C-4266-8032-28F4ED890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144780</xdr:colOff>
      <xdr:row>3</xdr:row>
      <xdr:rowOff>68580</xdr:rowOff>
    </xdr:from>
    <xdr:to>
      <xdr:col>16</xdr:col>
      <xdr:colOff>449580</xdr:colOff>
      <xdr:row>18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079B60-0DA1-4916-899D-D970379EC6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0108-DF2C-457B-911D-1548E4E17F18}">
  <dimension ref="A1:BS17"/>
  <sheetViews>
    <sheetView workbookViewId="0">
      <selection activeCell="O1" sqref="O1"/>
    </sheetView>
  </sheetViews>
  <sheetFormatPr defaultRowHeight="14.4" x14ac:dyDescent="0.3"/>
  <cols>
    <col min="1" max="1" width="9.77734375" bestFit="1" customWidth="1"/>
    <col min="2" max="2" width="9" bestFit="1" customWidth="1"/>
    <col min="3" max="5" width="14.6640625" bestFit="1" customWidth="1"/>
    <col min="6" max="6" width="15.6640625" bestFit="1" customWidth="1"/>
    <col min="7" max="7" width="14.6640625" bestFit="1" customWidth="1"/>
    <col min="8" max="8" width="15.6640625" bestFit="1" customWidth="1"/>
    <col min="9" max="9" width="15.33203125" bestFit="1" customWidth="1"/>
    <col min="10" max="12" width="14.6640625" bestFit="1" customWidth="1"/>
    <col min="13" max="13" width="15.6640625" bestFit="1" customWidth="1"/>
    <col min="14" max="15" width="14.6640625" bestFit="1" customWidth="1"/>
    <col min="16" max="18" width="15.33203125" bestFit="1" customWidth="1"/>
    <col min="19" max="20" width="14.6640625" bestFit="1" customWidth="1"/>
    <col min="21" max="22" width="15.6640625" bestFit="1" customWidth="1"/>
    <col min="23" max="24" width="14.6640625" bestFit="1" customWidth="1"/>
    <col min="25" max="25" width="15.6640625" bestFit="1" customWidth="1"/>
    <col min="26" max="27" width="14.6640625" bestFit="1" customWidth="1"/>
    <col min="28" max="28" width="15.6640625" bestFit="1" customWidth="1"/>
    <col min="29" max="29" width="14.6640625" bestFit="1" customWidth="1"/>
    <col min="30" max="31" width="13.6640625" bestFit="1" customWidth="1"/>
    <col min="32" max="32" width="14.6640625" bestFit="1" customWidth="1"/>
    <col min="33" max="33" width="13.6640625" bestFit="1" customWidth="1"/>
    <col min="34" max="35" width="14.6640625" bestFit="1" customWidth="1"/>
    <col min="36" max="36" width="13.6640625" bestFit="1" customWidth="1"/>
    <col min="37" max="37" width="15.6640625" bestFit="1" customWidth="1"/>
    <col min="38" max="38" width="13.6640625" bestFit="1" customWidth="1"/>
    <col min="39" max="42" width="14.6640625" bestFit="1" customWidth="1"/>
    <col min="43" max="44" width="15.6640625" bestFit="1" customWidth="1"/>
    <col min="45" max="47" width="14.6640625" bestFit="1" customWidth="1"/>
    <col min="48" max="51" width="15.6640625" bestFit="1" customWidth="1"/>
    <col min="52" max="52" width="14.6640625" bestFit="1" customWidth="1"/>
    <col min="53" max="53" width="15.33203125" bestFit="1" customWidth="1"/>
    <col min="54" max="54" width="15.6640625" bestFit="1" customWidth="1"/>
    <col min="55" max="58" width="14.6640625" bestFit="1" customWidth="1"/>
    <col min="59" max="59" width="9" bestFit="1" customWidth="1"/>
    <col min="60" max="60" width="15.6640625" bestFit="1" customWidth="1"/>
    <col min="61" max="61" width="14.6640625" bestFit="1" customWidth="1"/>
    <col min="62" max="62" width="13.6640625" bestFit="1" customWidth="1"/>
    <col min="63" max="63" width="15.6640625" bestFit="1" customWidth="1"/>
    <col min="64" max="70" width="14.6640625" bestFit="1" customWidth="1"/>
    <col min="71" max="71" width="14.109375" customWidth="1"/>
  </cols>
  <sheetData>
    <row r="1" spans="1:7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4" t="s">
        <v>83</v>
      </c>
    </row>
    <row r="2" spans="1:71" x14ac:dyDescent="0.3">
      <c r="A2" s="2">
        <v>45930</v>
      </c>
      <c r="B2" s="3"/>
      <c r="C2" s="3">
        <v>14773260000</v>
      </c>
      <c r="D2" s="3">
        <v>14773260000</v>
      </c>
      <c r="E2" s="3">
        <v>62723000000</v>
      </c>
      <c r="F2" s="3">
        <v>98657000000</v>
      </c>
      <c r="G2" s="3">
        <v>73733000000</v>
      </c>
      <c r="H2" s="3">
        <v>172390000000</v>
      </c>
      <c r="I2" s="3">
        <v>-17674000000</v>
      </c>
      <c r="J2" s="3">
        <v>73733000000</v>
      </c>
      <c r="K2" s="3"/>
      <c r="L2" s="3">
        <v>73733000000</v>
      </c>
      <c r="M2" s="3">
        <v>152061000000</v>
      </c>
      <c r="N2" s="3">
        <v>73733000000</v>
      </c>
      <c r="O2" s="3">
        <v>73733000000</v>
      </c>
      <c r="P2" s="3">
        <v>-5571000000</v>
      </c>
      <c r="Q2" s="3">
        <v>-5571000000</v>
      </c>
      <c r="R2" s="3">
        <v>-14264000000</v>
      </c>
      <c r="S2" s="3">
        <v>93568000000</v>
      </c>
      <c r="T2" s="3">
        <v>93568000000</v>
      </c>
      <c r="U2" s="3">
        <v>285508000000</v>
      </c>
      <c r="V2" s="3">
        <v>119877000000</v>
      </c>
      <c r="W2" s="3">
        <v>41549000000</v>
      </c>
      <c r="X2" s="3"/>
      <c r="Y2" s="3">
        <v>78328000000</v>
      </c>
      <c r="Z2" s="3"/>
      <c r="AA2" s="3">
        <v>78328000000</v>
      </c>
      <c r="AB2" s="3">
        <v>165631000000</v>
      </c>
      <c r="AC2" s="3">
        <v>44452000000</v>
      </c>
      <c r="AD2" s="3">
        <v>9055000000</v>
      </c>
      <c r="AE2" s="3">
        <v>9055000000</v>
      </c>
      <c r="AF2" s="3">
        <v>20329000000</v>
      </c>
      <c r="AG2" s="3"/>
      <c r="AH2" s="3">
        <v>20329000000</v>
      </c>
      <c r="AI2" s="3">
        <v>12350000000</v>
      </c>
      <c r="AJ2" s="3">
        <v>7979000000</v>
      </c>
      <c r="AK2" s="3">
        <v>91795000000</v>
      </c>
      <c r="AL2" s="3">
        <v>8919000000</v>
      </c>
      <c r="AM2" s="3">
        <v>82876000000</v>
      </c>
      <c r="AN2" s="3">
        <v>13016000000</v>
      </c>
      <c r="AO2" s="3">
        <v>13016000000</v>
      </c>
      <c r="AP2" s="3">
        <v>69860000000</v>
      </c>
      <c r="AQ2" s="3">
        <v>359241000000</v>
      </c>
      <c r="AR2" s="3">
        <v>211284000000</v>
      </c>
      <c r="AS2" s="3">
        <v>62950000000</v>
      </c>
      <c r="AT2" s="3">
        <v>20777000000</v>
      </c>
      <c r="AU2" s="3">
        <v>20777000000</v>
      </c>
      <c r="AV2" s="3">
        <v>77723000000</v>
      </c>
      <c r="AW2" s="3"/>
      <c r="AX2" s="3">
        <v>77723000000</v>
      </c>
      <c r="AY2" s="3">
        <v>77723000000</v>
      </c>
      <c r="AZ2" s="3">
        <v>49834000000</v>
      </c>
      <c r="BA2" s="3">
        <v>-76014000000</v>
      </c>
      <c r="BB2" s="3">
        <v>125848000000</v>
      </c>
      <c r="BC2" s="3">
        <v>15091000000</v>
      </c>
      <c r="BD2" s="3"/>
      <c r="BE2" s="3">
        <v>83420000000</v>
      </c>
      <c r="BF2" s="3">
        <v>27337000000</v>
      </c>
      <c r="BG2" s="3">
        <v>0</v>
      </c>
      <c r="BH2" s="3">
        <v>147957000000</v>
      </c>
      <c r="BI2" s="3">
        <v>14585000000</v>
      </c>
      <c r="BJ2" s="3">
        <v>5718000000</v>
      </c>
      <c r="BK2" s="3">
        <v>72957000000</v>
      </c>
      <c r="BL2" s="3">
        <v>33180000000</v>
      </c>
      <c r="BM2" s="3">
        <v>39777000000</v>
      </c>
      <c r="BN2" s="3">
        <v>54697000000</v>
      </c>
      <c r="BO2" s="3">
        <v>18763000000</v>
      </c>
      <c r="BP2" s="3">
        <v>35934000000</v>
      </c>
      <c r="BQ2" s="3">
        <v>7667000000</v>
      </c>
      <c r="BR2" s="3">
        <v>28267000000</v>
      </c>
      <c r="BS2">
        <f>F2-AA2</f>
        <v>20329000000</v>
      </c>
    </row>
    <row r="3" spans="1:71" x14ac:dyDescent="0.3">
      <c r="A3" s="2">
        <v>45565</v>
      </c>
      <c r="B3" s="3"/>
      <c r="C3" s="3">
        <v>15116786000</v>
      </c>
      <c r="D3" s="3">
        <v>15116786000</v>
      </c>
      <c r="E3" s="3">
        <v>76686000000</v>
      </c>
      <c r="F3" s="3">
        <v>106629000000</v>
      </c>
      <c r="G3" s="3">
        <v>56950000000</v>
      </c>
      <c r="H3" s="3">
        <v>163579000000</v>
      </c>
      <c r="I3" s="3">
        <v>-23405000000</v>
      </c>
      <c r="J3" s="3">
        <v>56950000000</v>
      </c>
      <c r="K3" s="3"/>
      <c r="L3" s="3">
        <v>56950000000</v>
      </c>
      <c r="M3" s="3">
        <v>142700000000</v>
      </c>
      <c r="N3" s="3">
        <v>56950000000</v>
      </c>
      <c r="O3" s="3">
        <v>56950000000</v>
      </c>
      <c r="P3" s="3">
        <v>-7172000000</v>
      </c>
      <c r="Q3" s="3">
        <v>-7172000000</v>
      </c>
      <c r="R3" s="3">
        <v>-19154000000</v>
      </c>
      <c r="S3" s="3">
        <v>83276000000</v>
      </c>
      <c r="T3" s="3">
        <v>83276000000</v>
      </c>
      <c r="U3" s="3">
        <v>308030000000</v>
      </c>
      <c r="V3" s="3">
        <v>131638000000</v>
      </c>
      <c r="W3" s="3">
        <v>45888000000</v>
      </c>
      <c r="X3" s="3">
        <v>9254000000</v>
      </c>
      <c r="Y3" s="3">
        <v>85750000000</v>
      </c>
      <c r="Z3" s="3"/>
      <c r="AA3" s="3">
        <v>85750000000</v>
      </c>
      <c r="AB3" s="3">
        <v>176392000000</v>
      </c>
      <c r="AC3" s="3">
        <v>44024000000</v>
      </c>
      <c r="AD3" s="3">
        <v>8249000000</v>
      </c>
      <c r="AE3" s="3">
        <v>8249000000</v>
      </c>
      <c r="AF3" s="3">
        <v>20879000000</v>
      </c>
      <c r="AG3" s="3"/>
      <c r="AH3" s="3">
        <v>20879000000</v>
      </c>
      <c r="AI3" s="3">
        <v>10912000000</v>
      </c>
      <c r="AJ3" s="3">
        <v>9967000000</v>
      </c>
      <c r="AK3" s="3">
        <v>103240000000</v>
      </c>
      <c r="AL3" s="3">
        <f>AK3-AM3</f>
        <v>7679000000</v>
      </c>
      <c r="AM3" s="3">
        <v>95561000000</v>
      </c>
      <c r="AN3" s="3">
        <v>26601000000</v>
      </c>
      <c r="AO3" s="3">
        <v>26601000000</v>
      </c>
      <c r="AP3" s="3">
        <v>68960000000</v>
      </c>
      <c r="AQ3" s="3">
        <v>364980000000</v>
      </c>
      <c r="AR3" s="3">
        <v>211993000000</v>
      </c>
      <c r="AS3" s="3">
        <v>55335000000</v>
      </c>
      <c r="AT3" s="3">
        <v>19499000000</v>
      </c>
      <c r="AU3" s="3">
        <v>19499000000</v>
      </c>
      <c r="AV3" s="3">
        <v>91479000000</v>
      </c>
      <c r="AW3" s="3"/>
      <c r="AX3" s="3">
        <v>91479000000</v>
      </c>
      <c r="AY3" s="3">
        <v>91479000000</v>
      </c>
      <c r="AZ3" s="3">
        <v>45680000000</v>
      </c>
      <c r="BA3" s="3">
        <v>-73448000000</v>
      </c>
      <c r="BB3" s="3">
        <v>119128000000</v>
      </c>
      <c r="BC3" s="3">
        <v>14233000000</v>
      </c>
      <c r="BD3" s="3"/>
      <c r="BE3" s="3">
        <v>80205000000</v>
      </c>
      <c r="BF3" s="3">
        <v>24690000000</v>
      </c>
      <c r="BG3" s="3">
        <v>0</v>
      </c>
      <c r="BH3" s="3">
        <v>152987000000</v>
      </c>
      <c r="BI3" s="3">
        <v>14287000000</v>
      </c>
      <c r="BJ3" s="3">
        <v>7286000000</v>
      </c>
      <c r="BK3" s="3">
        <v>66243000000</v>
      </c>
      <c r="BL3" s="3">
        <v>32833000000</v>
      </c>
      <c r="BM3" s="3">
        <v>33410000000</v>
      </c>
      <c r="BN3" s="3">
        <v>65171000000</v>
      </c>
      <c r="BO3" s="3">
        <v>35228000000</v>
      </c>
      <c r="BP3" s="3">
        <v>29943000000</v>
      </c>
      <c r="BQ3" s="3">
        <v>2744000000</v>
      </c>
      <c r="BR3" s="3">
        <v>27199000000</v>
      </c>
      <c r="BS3">
        <f t="shared" ref="BS3:BS5" si="0">F3-AA3</f>
        <v>20879000000</v>
      </c>
    </row>
    <row r="4" spans="1:71" x14ac:dyDescent="0.3">
      <c r="A4" s="2">
        <v>45199</v>
      </c>
      <c r="B4" s="3">
        <v>0</v>
      </c>
      <c r="C4" s="3">
        <v>15550061000</v>
      </c>
      <c r="D4" s="3">
        <v>15550061000</v>
      </c>
      <c r="E4" s="3">
        <v>81123000000</v>
      </c>
      <c r="F4" s="3">
        <v>111088000000</v>
      </c>
      <c r="G4" s="3">
        <v>62146000000</v>
      </c>
      <c r="H4" s="3">
        <v>173234000000</v>
      </c>
      <c r="I4" s="3">
        <v>-1742000000</v>
      </c>
      <c r="J4" s="3">
        <v>62146000000</v>
      </c>
      <c r="K4" s="3">
        <v>12842000000</v>
      </c>
      <c r="L4" s="3">
        <v>62146000000</v>
      </c>
      <c r="M4" s="3">
        <v>157427000000</v>
      </c>
      <c r="N4" s="3">
        <v>62146000000</v>
      </c>
      <c r="O4" s="3">
        <v>62146000000</v>
      </c>
      <c r="P4" s="3">
        <v>-11452000000</v>
      </c>
      <c r="Q4" s="3">
        <v>-11452000000</v>
      </c>
      <c r="R4" s="3">
        <v>-214000000</v>
      </c>
      <c r="S4" s="3">
        <v>73812000000</v>
      </c>
      <c r="T4" s="3">
        <v>73812000000</v>
      </c>
      <c r="U4" s="3">
        <v>290437000000</v>
      </c>
      <c r="V4" s="3">
        <v>145129000000</v>
      </c>
      <c r="W4" s="3">
        <v>34391000000</v>
      </c>
      <c r="X4" s="3">
        <v>15457000000</v>
      </c>
      <c r="Y4" s="3">
        <v>95281000000</v>
      </c>
      <c r="Z4" s="3">
        <v>11267000000</v>
      </c>
      <c r="AA4" s="3">
        <v>95281000000</v>
      </c>
      <c r="AB4" s="3">
        <v>145308000000</v>
      </c>
      <c r="AC4" s="3">
        <v>50010000000</v>
      </c>
      <c r="AD4" s="3">
        <v>8061000000</v>
      </c>
      <c r="AE4" s="3">
        <v>8061000000</v>
      </c>
      <c r="AF4" s="3">
        <v>15807000000</v>
      </c>
      <c r="AG4" s="3">
        <v>1575000000</v>
      </c>
      <c r="AH4" s="3">
        <v>15807000000</v>
      </c>
      <c r="AI4" s="3">
        <v>9822000000</v>
      </c>
      <c r="AJ4" s="3">
        <v>5985000000</v>
      </c>
      <c r="AK4" s="3">
        <v>71430000000</v>
      </c>
      <c r="AL4" s="3">
        <f>AK4-AM4</f>
        <v>0</v>
      </c>
      <c r="AM4" s="3">
        <v>71430000000</v>
      </c>
      <c r="AN4" s="3">
        <v>8819000000</v>
      </c>
      <c r="AO4" s="3">
        <v>8819000000</v>
      </c>
      <c r="AP4" s="3">
        <v>62611000000</v>
      </c>
      <c r="AQ4" s="3">
        <v>352583000000</v>
      </c>
      <c r="AR4" s="3">
        <v>209017000000</v>
      </c>
      <c r="AS4" s="3">
        <v>46906000000</v>
      </c>
      <c r="AT4" s="3">
        <v>17852000000</v>
      </c>
      <c r="AU4" s="3">
        <v>17852000000</v>
      </c>
      <c r="AV4" s="3">
        <v>100544000000</v>
      </c>
      <c r="AW4" s="3"/>
      <c r="AX4" s="3">
        <v>100544000000</v>
      </c>
      <c r="AY4" s="3">
        <v>100544000000</v>
      </c>
      <c r="AZ4" s="3">
        <v>43715000000</v>
      </c>
      <c r="BA4" s="3">
        <v>-70884000000</v>
      </c>
      <c r="BB4" s="3">
        <v>114599000000</v>
      </c>
      <c r="BC4" s="3">
        <v>12839000000</v>
      </c>
      <c r="BD4" s="3">
        <v>10661000000</v>
      </c>
      <c r="BE4" s="3">
        <v>78314000000</v>
      </c>
      <c r="BF4" s="3">
        <v>23446000000</v>
      </c>
      <c r="BG4" s="3">
        <v>0</v>
      </c>
      <c r="BH4" s="3">
        <v>143566000000</v>
      </c>
      <c r="BI4" s="3">
        <v>14695000000</v>
      </c>
      <c r="BJ4" s="3">
        <v>6331000000</v>
      </c>
      <c r="BK4" s="3">
        <v>60985000000</v>
      </c>
      <c r="BL4" s="3">
        <v>31477000000</v>
      </c>
      <c r="BM4" s="3">
        <v>29508000000</v>
      </c>
      <c r="BN4" s="3">
        <v>61555000000</v>
      </c>
      <c r="BO4" s="3">
        <v>31590000000</v>
      </c>
      <c r="BP4" s="3">
        <v>29965000000</v>
      </c>
      <c r="BQ4" s="3">
        <v>1606000000</v>
      </c>
      <c r="BR4" s="3">
        <v>28359000000</v>
      </c>
      <c r="BS4">
        <f t="shared" si="0"/>
        <v>15807000000</v>
      </c>
    </row>
    <row r="5" spans="1:71" x14ac:dyDescent="0.3">
      <c r="A5" s="2">
        <v>44834</v>
      </c>
      <c r="B5" s="3"/>
      <c r="C5" s="3">
        <v>15943425000</v>
      </c>
      <c r="D5" s="3">
        <v>15943425000</v>
      </c>
      <c r="E5" s="3">
        <v>96423000000</v>
      </c>
      <c r="F5" s="3">
        <v>132480000000</v>
      </c>
      <c r="G5" s="3">
        <v>50672000000</v>
      </c>
      <c r="H5" s="3">
        <v>170741000000</v>
      </c>
      <c r="I5" s="3">
        <v>-18577000000</v>
      </c>
      <c r="J5" s="3">
        <v>50672000000</v>
      </c>
      <c r="K5" s="3">
        <v>12411000000</v>
      </c>
      <c r="L5" s="3">
        <v>50672000000</v>
      </c>
      <c r="M5" s="3">
        <v>149631000000</v>
      </c>
      <c r="N5" s="3">
        <v>50672000000</v>
      </c>
      <c r="O5" s="3">
        <v>50672000000</v>
      </c>
      <c r="P5" s="3">
        <v>-11109000000</v>
      </c>
      <c r="Q5" s="3">
        <v>-11109000000</v>
      </c>
      <c r="R5" s="3">
        <v>-3068000000</v>
      </c>
      <c r="S5" s="3">
        <v>64849000000</v>
      </c>
      <c r="T5" s="3">
        <v>64849000000</v>
      </c>
      <c r="U5" s="3">
        <v>302083000000</v>
      </c>
      <c r="V5" s="3">
        <v>148101000000</v>
      </c>
      <c r="W5" s="3">
        <v>21737000000</v>
      </c>
      <c r="X5" s="3">
        <v>16657000000</v>
      </c>
      <c r="Y5" s="3">
        <v>109707000000</v>
      </c>
      <c r="Z5" s="3">
        <v>10748000000</v>
      </c>
      <c r="AA5" s="3">
        <v>98959000000</v>
      </c>
      <c r="AB5" s="3">
        <v>153982000000</v>
      </c>
      <c r="AC5" s="3">
        <v>52630000000</v>
      </c>
      <c r="AD5" s="3">
        <v>7912000000</v>
      </c>
      <c r="AE5" s="3">
        <v>7912000000</v>
      </c>
      <c r="AF5" s="3">
        <v>22773000000</v>
      </c>
      <c r="AG5" s="3">
        <v>1663000000</v>
      </c>
      <c r="AH5" s="3">
        <v>21110000000</v>
      </c>
      <c r="AI5" s="3">
        <v>11128000000</v>
      </c>
      <c r="AJ5" s="3">
        <v>9982000000</v>
      </c>
      <c r="AK5" s="3">
        <v>70667000000</v>
      </c>
      <c r="AL5" s="3">
        <f>AK5-AM5</f>
        <v>0</v>
      </c>
      <c r="AM5" s="3">
        <v>70667000000</v>
      </c>
      <c r="AN5" s="3">
        <v>6552000000</v>
      </c>
      <c r="AO5" s="3">
        <v>6552000000</v>
      </c>
      <c r="AP5" s="3">
        <v>64115000000</v>
      </c>
      <c r="AQ5" s="3">
        <v>352755000000</v>
      </c>
      <c r="AR5" s="3">
        <v>217350000000</v>
      </c>
      <c r="AS5" s="3">
        <v>39053000000</v>
      </c>
      <c r="AT5" s="3">
        <v>15375000000</v>
      </c>
      <c r="AU5" s="3">
        <v>15375000000</v>
      </c>
      <c r="AV5" s="3">
        <v>120805000000</v>
      </c>
      <c r="AW5" s="3">
        <v>120805000000</v>
      </c>
      <c r="AX5" s="3">
        <v>120805000000</v>
      </c>
      <c r="AY5" s="3">
        <v>120805000000</v>
      </c>
      <c r="AZ5" s="3">
        <v>42117000000</v>
      </c>
      <c r="BA5" s="3">
        <v>-72340000000</v>
      </c>
      <c r="BB5" s="3">
        <v>114457000000</v>
      </c>
      <c r="BC5" s="3">
        <v>11271000000</v>
      </c>
      <c r="BD5" s="3">
        <v>10417000000</v>
      </c>
      <c r="BE5" s="3">
        <v>81060000000</v>
      </c>
      <c r="BF5" s="3">
        <v>22126000000</v>
      </c>
      <c r="BG5" s="3">
        <v>0</v>
      </c>
      <c r="BH5" s="3">
        <v>135405000000</v>
      </c>
      <c r="BI5" s="3">
        <v>21223000000</v>
      </c>
      <c r="BJ5" s="3">
        <v>4946000000</v>
      </c>
      <c r="BK5" s="3">
        <v>60932000000</v>
      </c>
      <c r="BL5" s="3">
        <v>32748000000</v>
      </c>
      <c r="BM5" s="3">
        <v>28184000000</v>
      </c>
      <c r="BN5" s="3">
        <v>48304000000</v>
      </c>
      <c r="BO5" s="3">
        <v>24658000000</v>
      </c>
      <c r="BP5" s="3">
        <v>23646000000</v>
      </c>
      <c r="BQ5" s="3">
        <v>5100000000</v>
      </c>
      <c r="BR5" s="3">
        <v>18546000000</v>
      </c>
      <c r="BS5">
        <f t="shared" si="0"/>
        <v>33521000000</v>
      </c>
    </row>
    <row r="6" spans="1:71" x14ac:dyDescent="0.3">
      <c r="A6" s="2">
        <v>44469</v>
      </c>
      <c r="B6" s="3"/>
      <c r="C6" s="3"/>
      <c r="D6" s="3"/>
      <c r="E6" s="3"/>
      <c r="F6" s="3"/>
      <c r="G6" s="3"/>
      <c r="H6" s="3"/>
      <c r="I6" s="3"/>
      <c r="J6" s="3"/>
      <c r="K6" s="3">
        <v>11803000000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>
        <v>24689000000</v>
      </c>
      <c r="Y6" s="3"/>
      <c r="Z6" s="3">
        <v>10275000000</v>
      </c>
      <c r="AA6" s="3"/>
      <c r="AB6" s="3"/>
      <c r="AC6" s="3"/>
      <c r="AD6" s="3"/>
      <c r="AE6" s="3"/>
      <c r="AF6" s="3"/>
      <c r="AG6" s="3">
        <v>1528000000</v>
      </c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127877000000</v>
      </c>
      <c r="AX6" s="3"/>
      <c r="AY6" s="3"/>
      <c r="AZ6" s="3"/>
      <c r="BA6" s="3"/>
      <c r="BB6" s="3"/>
      <c r="BC6" s="3"/>
      <c r="BD6" s="3">
        <v>10087000000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1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1" x14ac:dyDescent="0.3">
      <c r="AK9" s="3"/>
      <c r="AL9" s="3"/>
    </row>
    <row r="17" ht="10.8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A71E-6C0D-46E0-AE4A-6619B1909542}">
  <dimension ref="A1:BB5"/>
  <sheetViews>
    <sheetView topLeftCell="Q1" workbookViewId="0">
      <selection activeCell="O1" sqref="O1"/>
    </sheetView>
  </sheetViews>
  <sheetFormatPr defaultRowHeight="14.4" x14ac:dyDescent="0.3"/>
  <cols>
    <col min="1" max="1" width="9.77734375" bestFit="1" customWidth="1"/>
    <col min="2" max="2" width="15.6640625" bestFit="1" customWidth="1"/>
    <col min="3" max="4" width="15.33203125" bestFit="1" customWidth="1"/>
    <col min="5" max="5" width="13.6640625" bestFit="1" customWidth="1"/>
    <col min="7" max="7" width="15.33203125" bestFit="1" customWidth="1"/>
    <col min="8" max="8" width="13.6640625" bestFit="1" customWidth="1"/>
    <col min="9" max="11" width="14.6640625" bestFit="1" customWidth="1"/>
    <col min="12" max="12" width="15.33203125" bestFit="1" customWidth="1"/>
    <col min="13" max="14" width="16.33203125" bestFit="1" customWidth="1"/>
    <col min="15" max="15" width="14.33203125" bestFit="1" customWidth="1"/>
    <col min="16" max="19" width="15.33203125" bestFit="1" customWidth="1"/>
    <col min="21" max="23" width="14.33203125" bestFit="1" customWidth="1"/>
    <col min="24" max="24" width="15.33203125" bestFit="1" customWidth="1"/>
    <col min="25" max="25" width="13.6640625" bestFit="1" customWidth="1"/>
    <col min="26" max="27" width="15.33203125" bestFit="1" customWidth="1"/>
    <col min="28" max="28" width="14.33203125" bestFit="1" customWidth="1"/>
    <col min="29" max="30" width="14.6640625" bestFit="1" customWidth="1"/>
    <col min="31" max="31" width="15.33203125" bestFit="1" customWidth="1"/>
    <col min="32" max="33" width="13.33203125" bestFit="1" customWidth="1"/>
    <col min="34" max="35" width="15.33203125" bestFit="1" customWidth="1"/>
    <col min="36" max="37" width="15.6640625" bestFit="1" customWidth="1"/>
    <col min="38" max="38" width="15.33203125" bestFit="1" customWidth="1"/>
    <col min="39" max="39" width="12.5546875" bestFit="1" customWidth="1"/>
    <col min="40" max="41" width="15.33203125" bestFit="1" customWidth="1"/>
    <col min="42" max="48" width="14.33203125" bestFit="1" customWidth="1"/>
    <col min="49" max="49" width="14.6640625" bestFit="1" customWidth="1"/>
    <col min="50" max="51" width="12.5546875" bestFit="1" customWidth="1"/>
    <col min="52" max="53" width="14.6640625" bestFit="1" customWidth="1"/>
    <col min="54" max="54" width="15.6640625" bestFit="1" customWidth="1"/>
  </cols>
  <sheetData>
    <row r="1" spans="1:54" x14ac:dyDescent="0.3">
      <c r="B1" s="6" t="s">
        <v>84</v>
      </c>
      <c r="C1" s="6" t="s">
        <v>85</v>
      </c>
      <c r="D1" s="6" t="s">
        <v>86</v>
      </c>
      <c r="E1" s="6" t="s">
        <v>87</v>
      </c>
      <c r="F1" s="6" t="s">
        <v>88</v>
      </c>
      <c r="G1" s="6" t="s">
        <v>89</v>
      </c>
      <c r="H1" s="6" t="s">
        <v>90</v>
      </c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  <c r="S1" s="6" t="s">
        <v>101</v>
      </c>
      <c r="T1" s="6" t="s">
        <v>102</v>
      </c>
      <c r="U1" s="6" t="s">
        <v>103</v>
      </c>
      <c r="V1" s="6" t="s">
        <v>104</v>
      </c>
      <c r="W1" s="6" t="s">
        <v>105</v>
      </c>
      <c r="X1" s="6" t="s">
        <v>106</v>
      </c>
      <c r="Y1" s="6" t="s">
        <v>107</v>
      </c>
      <c r="Z1" s="6" t="s">
        <v>108</v>
      </c>
      <c r="AA1" s="6" t="s">
        <v>109</v>
      </c>
      <c r="AB1" s="6" t="s">
        <v>110</v>
      </c>
      <c r="AC1" s="6" t="s">
        <v>111</v>
      </c>
      <c r="AD1" s="6" t="s">
        <v>112</v>
      </c>
      <c r="AE1" s="6" t="s">
        <v>113</v>
      </c>
      <c r="AF1" s="6" t="s">
        <v>114</v>
      </c>
      <c r="AG1" s="6" t="s">
        <v>115</v>
      </c>
      <c r="AH1" s="6" t="s">
        <v>116</v>
      </c>
      <c r="AI1" s="6" t="s">
        <v>117</v>
      </c>
      <c r="AJ1" s="6" t="s">
        <v>118</v>
      </c>
      <c r="AK1" s="6" t="s">
        <v>119</v>
      </c>
      <c r="AL1" s="6" t="s">
        <v>120</v>
      </c>
      <c r="AM1" s="6" t="s">
        <v>121</v>
      </c>
      <c r="AN1" s="6" t="s">
        <v>122</v>
      </c>
      <c r="AO1" s="6" t="s">
        <v>123</v>
      </c>
      <c r="AP1" s="6" t="s">
        <v>124</v>
      </c>
      <c r="AQ1" s="6" t="s">
        <v>125</v>
      </c>
      <c r="AR1" s="6" t="s">
        <v>126</v>
      </c>
      <c r="AS1" s="6" t="s">
        <v>127</v>
      </c>
      <c r="AT1" s="6" t="s">
        <v>128</v>
      </c>
      <c r="AU1" s="6" t="s">
        <v>129</v>
      </c>
      <c r="AV1" s="6" t="s">
        <v>130</v>
      </c>
      <c r="AW1" s="6" t="s">
        <v>131</v>
      </c>
      <c r="AX1" s="6" t="s">
        <v>132</v>
      </c>
      <c r="AY1" s="6" t="s">
        <v>133</v>
      </c>
      <c r="AZ1" s="6" t="s">
        <v>134</v>
      </c>
      <c r="BA1" s="6" t="s">
        <v>135</v>
      </c>
      <c r="BB1" s="6" t="s">
        <v>136</v>
      </c>
    </row>
    <row r="2" spans="1:54" x14ac:dyDescent="0.3">
      <c r="A2" s="5">
        <v>45930</v>
      </c>
      <c r="B2" s="3">
        <v>98767000000</v>
      </c>
      <c r="C2" s="3">
        <v>-90711000000</v>
      </c>
      <c r="D2" s="3">
        <v>-10932000000</v>
      </c>
      <c r="E2" s="3">
        <v>4481000000</v>
      </c>
      <c r="F2" s="3"/>
      <c r="G2" s="3">
        <v>-12715000000</v>
      </c>
      <c r="H2" s="3"/>
      <c r="I2" s="3">
        <v>43369000000</v>
      </c>
      <c r="J2" s="3">
        <v>35934000000</v>
      </c>
      <c r="K2" s="3">
        <v>29943000000</v>
      </c>
      <c r="L2" s="3">
        <v>5991000000</v>
      </c>
      <c r="M2" s="3">
        <v>-120686000000</v>
      </c>
      <c r="N2" s="3">
        <v>-120686000000</v>
      </c>
      <c r="O2" s="3">
        <v>-6071000000</v>
      </c>
      <c r="P2" s="3">
        <v>-15421000000</v>
      </c>
      <c r="Q2" s="3">
        <v>-15421000000</v>
      </c>
      <c r="R2" s="3">
        <v>-90711000000</v>
      </c>
      <c r="S2" s="3">
        <v>-90711000000</v>
      </c>
      <c r="T2" s="3"/>
      <c r="U2" s="3">
        <v>-8483000000</v>
      </c>
      <c r="V2" s="3">
        <v>-2032000000</v>
      </c>
      <c r="W2" s="3">
        <v>-6451000000</v>
      </c>
      <c r="X2" s="3">
        <v>-10932000000</v>
      </c>
      <c r="Y2" s="3">
        <v>4481000000</v>
      </c>
      <c r="Z2" s="3">
        <v>15195000000</v>
      </c>
      <c r="AA2" s="3">
        <v>15195000000</v>
      </c>
      <c r="AB2" s="3">
        <v>-1480000000</v>
      </c>
      <c r="AC2" s="3">
        <v>29390000000</v>
      </c>
      <c r="AD2" s="3">
        <v>53797000000</v>
      </c>
      <c r="AE2" s="3">
        <v>-24407000000</v>
      </c>
      <c r="AF2" s="3"/>
      <c r="AG2" s="3"/>
      <c r="AH2" s="3">
        <v>-12715000000</v>
      </c>
      <c r="AI2" s="3">
        <v>-12715000000</v>
      </c>
      <c r="AJ2" s="3">
        <v>111482000000</v>
      </c>
      <c r="AK2" s="3">
        <v>111482000000</v>
      </c>
      <c r="AL2" s="3">
        <v>-25000000000</v>
      </c>
      <c r="AM2" s="3"/>
      <c r="AN2" s="3">
        <v>-11076000000</v>
      </c>
      <c r="AO2" s="3">
        <v>-9197000000</v>
      </c>
      <c r="AP2" s="3">
        <v>902000000</v>
      </c>
      <c r="AQ2" s="3">
        <v>902000000</v>
      </c>
      <c r="AR2" s="3">
        <v>902000000</v>
      </c>
      <c r="AS2" s="3">
        <v>1400000000</v>
      </c>
      <c r="AT2" s="3">
        <v>-7029000000</v>
      </c>
      <c r="AU2" s="3">
        <v>-6682000000</v>
      </c>
      <c r="AV2" s="3">
        <v>-89000000</v>
      </c>
      <c r="AW2" s="3">
        <v>12863000000</v>
      </c>
      <c r="AX2" s="3"/>
      <c r="AY2" s="3"/>
      <c r="AZ2" s="3">
        <v>11698000000</v>
      </c>
      <c r="BA2" s="3">
        <v>11698000000</v>
      </c>
      <c r="BB2" s="3">
        <v>112010000000</v>
      </c>
    </row>
    <row r="3" spans="1:54" x14ac:dyDescent="0.3">
      <c r="A3" s="5">
        <v>45565</v>
      </c>
      <c r="B3" s="3">
        <v>108807000000</v>
      </c>
      <c r="C3" s="3">
        <v>-94949000000</v>
      </c>
      <c r="D3" s="3">
        <v>-9958000000</v>
      </c>
      <c r="E3" s="3">
        <v>0</v>
      </c>
      <c r="F3" s="3"/>
      <c r="G3" s="3">
        <v>-9447000000</v>
      </c>
      <c r="H3" s="3"/>
      <c r="I3" s="3">
        <v>26102000000</v>
      </c>
      <c r="J3" s="3">
        <v>29943000000</v>
      </c>
      <c r="K3" s="3">
        <v>30737000000</v>
      </c>
      <c r="L3" s="3">
        <v>-794000000</v>
      </c>
      <c r="M3" s="3">
        <v>-121983000000</v>
      </c>
      <c r="N3" s="3">
        <v>-121983000000</v>
      </c>
      <c r="O3" s="3">
        <v>-5802000000</v>
      </c>
      <c r="P3" s="3">
        <v>-15234000000</v>
      </c>
      <c r="Q3" s="3">
        <v>-15234000000</v>
      </c>
      <c r="R3" s="3">
        <v>-94949000000</v>
      </c>
      <c r="S3" s="3">
        <v>-94949000000</v>
      </c>
      <c r="T3" s="3"/>
      <c r="U3" s="3">
        <v>-5998000000</v>
      </c>
      <c r="V3" s="3">
        <v>3960000000</v>
      </c>
      <c r="W3" s="3">
        <v>-9958000000</v>
      </c>
      <c r="X3" s="3">
        <v>-9958000000</v>
      </c>
      <c r="Y3" s="3">
        <v>0</v>
      </c>
      <c r="Z3" s="3">
        <v>2935000000</v>
      </c>
      <c r="AA3" s="3">
        <v>2935000000</v>
      </c>
      <c r="AB3" s="3">
        <v>-1308000000</v>
      </c>
      <c r="AC3" s="3">
        <v>13690000000</v>
      </c>
      <c r="AD3" s="3">
        <v>62346000000</v>
      </c>
      <c r="AE3" s="3">
        <v>-48656000000</v>
      </c>
      <c r="AF3" s="3"/>
      <c r="AG3" s="3"/>
      <c r="AH3" s="3">
        <v>-9447000000</v>
      </c>
      <c r="AI3" s="3">
        <v>-9447000000</v>
      </c>
      <c r="AJ3" s="3">
        <v>118254000000</v>
      </c>
      <c r="AK3" s="3">
        <v>118254000000</v>
      </c>
      <c r="AL3" s="3">
        <v>3651000000</v>
      </c>
      <c r="AM3" s="3"/>
      <c r="AN3" s="3">
        <v>15552000000</v>
      </c>
      <c r="AO3" s="3">
        <v>-11731000000</v>
      </c>
      <c r="AP3" s="3">
        <v>6020000000</v>
      </c>
      <c r="AQ3" s="3">
        <v>6020000000</v>
      </c>
      <c r="AR3" s="3">
        <v>6020000000</v>
      </c>
      <c r="AS3" s="3">
        <v>-1046000000</v>
      </c>
      <c r="AT3" s="3">
        <v>-5144000000</v>
      </c>
      <c r="AU3" s="3">
        <v>-3788000000</v>
      </c>
      <c r="AV3" s="3">
        <v>-2266000000</v>
      </c>
      <c r="AW3" s="3">
        <v>11688000000</v>
      </c>
      <c r="AX3" s="3"/>
      <c r="AY3" s="3"/>
      <c r="AZ3" s="3">
        <v>11445000000</v>
      </c>
      <c r="BA3" s="3">
        <v>11445000000</v>
      </c>
      <c r="BB3" s="3">
        <v>93736000000</v>
      </c>
    </row>
    <row r="4" spans="1:54" x14ac:dyDescent="0.3">
      <c r="A4" s="5">
        <v>45199</v>
      </c>
      <c r="B4" s="3">
        <v>99584000000</v>
      </c>
      <c r="C4" s="3">
        <v>-77550000000</v>
      </c>
      <c r="D4" s="3">
        <v>-11151000000</v>
      </c>
      <c r="E4" s="3">
        <v>5228000000</v>
      </c>
      <c r="F4" s="3"/>
      <c r="G4" s="3">
        <v>-10959000000</v>
      </c>
      <c r="H4" s="3">
        <v>3803000000</v>
      </c>
      <c r="I4" s="3">
        <v>18679000000</v>
      </c>
      <c r="J4" s="3">
        <v>30737000000</v>
      </c>
      <c r="K4" s="3">
        <v>24977000000</v>
      </c>
      <c r="L4" s="3">
        <v>5760000000</v>
      </c>
      <c r="M4" s="3">
        <v>-108488000000</v>
      </c>
      <c r="N4" s="3">
        <v>-108488000000</v>
      </c>
      <c r="O4" s="3">
        <v>-6012000000</v>
      </c>
      <c r="P4" s="3">
        <v>-15025000000</v>
      </c>
      <c r="Q4" s="3">
        <v>-15025000000</v>
      </c>
      <c r="R4" s="3">
        <v>-77550000000</v>
      </c>
      <c r="S4" s="3">
        <v>-77550000000</v>
      </c>
      <c r="T4" s="3"/>
      <c r="U4" s="3">
        <v>-9901000000</v>
      </c>
      <c r="V4" s="3">
        <v>-3978000000</v>
      </c>
      <c r="W4" s="3">
        <v>-5923000000</v>
      </c>
      <c r="X4" s="3">
        <v>-11151000000</v>
      </c>
      <c r="Y4" s="3">
        <v>5228000000</v>
      </c>
      <c r="Z4" s="3">
        <v>3705000000</v>
      </c>
      <c r="AA4" s="3">
        <v>3705000000</v>
      </c>
      <c r="AB4" s="3">
        <v>-1337000000</v>
      </c>
      <c r="AC4" s="3">
        <v>16001000000</v>
      </c>
      <c r="AD4" s="3">
        <v>45514000000</v>
      </c>
      <c r="AE4" s="3">
        <v>-29513000000</v>
      </c>
      <c r="AF4" s="3"/>
      <c r="AG4" s="3"/>
      <c r="AH4" s="3">
        <v>-10959000000</v>
      </c>
      <c r="AI4" s="3">
        <v>-10959000000</v>
      </c>
      <c r="AJ4" s="3">
        <v>110543000000</v>
      </c>
      <c r="AK4" s="3">
        <v>110543000000</v>
      </c>
      <c r="AL4" s="3">
        <v>-6577000000</v>
      </c>
      <c r="AM4" s="3"/>
      <c r="AN4" s="3">
        <v>3031000000</v>
      </c>
      <c r="AO4" s="3">
        <v>-5684000000</v>
      </c>
      <c r="AP4" s="3">
        <v>-1889000000</v>
      </c>
      <c r="AQ4" s="3">
        <v>-1889000000</v>
      </c>
      <c r="AR4" s="3">
        <v>-1889000000</v>
      </c>
      <c r="AS4" s="3">
        <v>-1618000000</v>
      </c>
      <c r="AT4" s="3">
        <v>-417000000</v>
      </c>
      <c r="AU4" s="3">
        <v>-1688000000</v>
      </c>
      <c r="AV4" s="3">
        <v>-2227000000</v>
      </c>
      <c r="AW4" s="3">
        <v>10833000000</v>
      </c>
      <c r="AX4" s="3"/>
      <c r="AY4" s="3"/>
      <c r="AZ4" s="3">
        <v>11519000000</v>
      </c>
      <c r="BA4" s="3">
        <v>11519000000</v>
      </c>
      <c r="BB4" s="3">
        <v>96995000000</v>
      </c>
    </row>
    <row r="5" spans="1:54" x14ac:dyDescent="0.3">
      <c r="A5" s="5">
        <v>44834</v>
      </c>
      <c r="B5" s="3">
        <v>111443000000</v>
      </c>
      <c r="C5" s="3">
        <v>-89402000000</v>
      </c>
      <c r="D5" s="3">
        <v>-9543000000</v>
      </c>
      <c r="E5" s="3">
        <v>5465000000</v>
      </c>
      <c r="F5" s="3"/>
      <c r="G5" s="3">
        <v>-10708000000</v>
      </c>
      <c r="H5" s="3">
        <v>2865000000</v>
      </c>
      <c r="I5" s="3">
        <v>19573000000</v>
      </c>
      <c r="J5" s="3">
        <v>24977000000</v>
      </c>
      <c r="K5" s="3">
        <v>35929000000</v>
      </c>
      <c r="L5" s="3">
        <v>-10952000000</v>
      </c>
      <c r="M5" s="3">
        <v>-110749000000</v>
      </c>
      <c r="N5" s="3">
        <v>-110749000000</v>
      </c>
      <c r="O5" s="3">
        <v>-6383000000</v>
      </c>
      <c r="P5" s="3">
        <v>-14841000000</v>
      </c>
      <c r="Q5" s="3">
        <v>-14841000000</v>
      </c>
      <c r="R5" s="3">
        <v>-89402000000</v>
      </c>
      <c r="S5" s="3">
        <v>-89402000000</v>
      </c>
      <c r="T5" s="3"/>
      <c r="U5" s="3">
        <v>-123000000</v>
      </c>
      <c r="V5" s="3">
        <v>3955000000</v>
      </c>
      <c r="W5" s="3">
        <v>-4078000000</v>
      </c>
      <c r="X5" s="3">
        <v>-9543000000</v>
      </c>
      <c r="Y5" s="3">
        <v>5465000000</v>
      </c>
      <c r="Z5" s="3">
        <v>-22354000000</v>
      </c>
      <c r="AA5" s="3">
        <v>-22354000000</v>
      </c>
      <c r="AB5" s="3">
        <v>-2086000000</v>
      </c>
      <c r="AC5" s="3">
        <v>-9560000000</v>
      </c>
      <c r="AD5" s="3">
        <v>67363000000</v>
      </c>
      <c r="AE5" s="3">
        <v>-76923000000</v>
      </c>
      <c r="AF5" s="3">
        <v>-306000000</v>
      </c>
      <c r="AG5" s="3">
        <v>-306000000</v>
      </c>
      <c r="AH5" s="3">
        <v>-10708000000</v>
      </c>
      <c r="AI5" s="3">
        <v>-10708000000</v>
      </c>
      <c r="AJ5" s="3">
        <v>122151000000</v>
      </c>
      <c r="AK5" s="3">
        <v>122151000000</v>
      </c>
      <c r="AL5" s="3">
        <v>1200000000</v>
      </c>
      <c r="AM5" s="3">
        <v>478000000</v>
      </c>
      <c r="AN5" s="3">
        <v>6110000000</v>
      </c>
      <c r="AO5" s="3">
        <v>-6499000000</v>
      </c>
      <c r="AP5" s="3">
        <v>9448000000</v>
      </c>
      <c r="AQ5" s="3">
        <v>9448000000</v>
      </c>
      <c r="AR5" s="3">
        <v>9448000000</v>
      </c>
      <c r="AS5" s="3">
        <v>1484000000</v>
      </c>
      <c r="AT5" s="3">
        <v>-9343000000</v>
      </c>
      <c r="AU5" s="3">
        <v>-1823000000</v>
      </c>
      <c r="AV5" s="3">
        <v>1006000000</v>
      </c>
      <c r="AW5" s="3">
        <v>9038000000</v>
      </c>
      <c r="AX5" s="3">
        <v>895000000</v>
      </c>
      <c r="AY5" s="3">
        <v>895000000</v>
      </c>
      <c r="AZ5" s="3">
        <v>11104000000</v>
      </c>
      <c r="BA5" s="3">
        <v>11104000000</v>
      </c>
      <c r="BB5" s="3">
        <v>99803000000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6501-3D2D-479E-985A-2C41F607F2A3}">
  <dimension ref="A1:AN12"/>
  <sheetViews>
    <sheetView topLeftCell="AD1" workbookViewId="0">
      <selection activeCell="W1" sqref="W1"/>
    </sheetView>
  </sheetViews>
  <sheetFormatPr defaultRowHeight="14.4" x14ac:dyDescent="0.3"/>
  <cols>
    <col min="1" max="1" width="9.33203125" bestFit="1" customWidth="1"/>
    <col min="2" max="3" width="9" bestFit="1" customWidth="1"/>
    <col min="4" max="5" width="15.6640625" bestFit="1" customWidth="1"/>
    <col min="6" max="6" width="14.6640625" bestFit="1" customWidth="1"/>
    <col min="7" max="9" width="15.6640625" bestFit="1" customWidth="1"/>
    <col min="10" max="10" width="13.33203125" bestFit="1" customWidth="1"/>
    <col min="11" max="11" width="14.6640625" bestFit="1" customWidth="1"/>
    <col min="12" max="12" width="13.6640625" bestFit="1" customWidth="1"/>
    <col min="13" max="16" width="15.6640625" bestFit="1" customWidth="1"/>
    <col min="17" max="18" width="14.6640625" bestFit="1" customWidth="1"/>
    <col min="19" max="20" width="9" bestFit="1" customWidth="1"/>
    <col min="21" max="25" width="15.6640625" bestFit="1" customWidth="1"/>
    <col min="26" max="26" width="14.6640625" bestFit="1" customWidth="1"/>
    <col min="27" max="27" width="15.6640625" bestFit="1" customWidth="1"/>
    <col min="28" max="30" width="13.33203125" bestFit="1" customWidth="1"/>
    <col min="31" max="32" width="13.6640625" bestFit="1" customWidth="1"/>
    <col min="33" max="33" width="15.6640625" bestFit="1" customWidth="1"/>
    <col min="34" max="36" width="14.6640625" bestFit="1" customWidth="1"/>
    <col min="37" max="40" width="15.6640625" bestFit="1" customWidth="1"/>
  </cols>
  <sheetData>
    <row r="1" spans="1:40" x14ac:dyDescent="0.3"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172</v>
      </c>
      <c r="P1" t="s">
        <v>173</v>
      </c>
      <c r="Q1" t="s">
        <v>174</v>
      </c>
      <c r="R1" t="s">
        <v>175</v>
      </c>
      <c r="S1" t="s">
        <v>176</v>
      </c>
      <c r="T1" t="s">
        <v>177</v>
      </c>
      <c r="U1" t="s">
        <v>178</v>
      </c>
      <c r="V1" t="s">
        <v>179</v>
      </c>
      <c r="W1" t="s">
        <v>139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</row>
    <row r="2" spans="1:40" x14ac:dyDescent="0.3">
      <c r="A2" s="8">
        <v>45930</v>
      </c>
      <c r="B2" s="3">
        <v>0</v>
      </c>
      <c r="C2" s="3">
        <v>0.156</v>
      </c>
      <c r="D2" s="3">
        <v>144748000000</v>
      </c>
      <c r="E2" s="3">
        <v>112010000000</v>
      </c>
      <c r="F2" s="3">
        <v>11698000000</v>
      </c>
      <c r="G2" s="3">
        <v>220960000000</v>
      </c>
      <c r="H2" s="3">
        <v>144748000000</v>
      </c>
      <c r="I2" s="3">
        <v>133050000000</v>
      </c>
      <c r="J2" s="3"/>
      <c r="K2" s="3">
        <f>I2-AA2</f>
        <v>321000000</v>
      </c>
      <c r="L2" s="3"/>
      <c r="M2" s="3">
        <v>112010000000</v>
      </c>
      <c r="N2" s="3">
        <v>112010000000</v>
      </c>
      <c r="O2" s="3">
        <v>283111000000</v>
      </c>
      <c r="P2" s="3">
        <v>133050000000</v>
      </c>
      <c r="Q2" s="3">
        <v>15004697000</v>
      </c>
      <c r="R2" s="3">
        <v>14948500000</v>
      </c>
      <c r="S2" s="3">
        <v>7.46</v>
      </c>
      <c r="T2" s="3">
        <v>7.49</v>
      </c>
      <c r="U2" s="3">
        <v>112010000000</v>
      </c>
      <c r="V2" s="3">
        <v>112010000000</v>
      </c>
      <c r="W2" s="3">
        <v>112010000000</v>
      </c>
      <c r="X2" s="3">
        <v>112010000000</v>
      </c>
      <c r="Y2" s="3">
        <v>112010000000</v>
      </c>
      <c r="Z2" s="3">
        <v>20719000000</v>
      </c>
      <c r="AA2" s="3">
        <v>132729000000</v>
      </c>
      <c r="AB2" s="3">
        <v>-321000000</v>
      </c>
      <c r="AC2" s="3">
        <v>-321000000</v>
      </c>
      <c r="AD2" s="3"/>
      <c r="AE2" s="3"/>
      <c r="AF2" s="3"/>
      <c r="AG2" s="3">
        <v>133050000000</v>
      </c>
      <c r="AH2" s="3">
        <v>62151000000</v>
      </c>
      <c r="AI2" s="3">
        <v>34550000000</v>
      </c>
      <c r="AJ2" s="3">
        <v>27601000000</v>
      </c>
      <c r="AK2" s="3">
        <v>195201000000</v>
      </c>
      <c r="AL2" s="3">
        <v>220960000000</v>
      </c>
      <c r="AM2" s="3">
        <v>416161000000</v>
      </c>
      <c r="AN2" s="3">
        <v>416161000000</v>
      </c>
    </row>
    <row r="3" spans="1:40" x14ac:dyDescent="0.3">
      <c r="A3" s="8">
        <v>45565</v>
      </c>
      <c r="B3" s="3">
        <v>0</v>
      </c>
      <c r="C3" s="3">
        <v>0.24099999999999999</v>
      </c>
      <c r="D3" s="3">
        <v>134661000000</v>
      </c>
      <c r="E3" s="3">
        <v>93736000000</v>
      </c>
      <c r="F3" s="3">
        <v>11445000000</v>
      </c>
      <c r="G3" s="3">
        <v>210352000000</v>
      </c>
      <c r="H3" s="3">
        <v>134661000000</v>
      </c>
      <c r="I3" s="3">
        <v>123216000000</v>
      </c>
      <c r="J3" s="3"/>
      <c r="K3" s="3"/>
      <c r="L3" s="3"/>
      <c r="M3" s="3">
        <v>93736000000</v>
      </c>
      <c r="N3" s="3">
        <v>93736000000</v>
      </c>
      <c r="O3" s="3">
        <v>267819000000</v>
      </c>
      <c r="P3" s="3">
        <v>123216000000</v>
      </c>
      <c r="Q3" s="3">
        <v>15408095000</v>
      </c>
      <c r="R3" s="3">
        <v>15343783000</v>
      </c>
      <c r="S3" s="3">
        <v>6.08</v>
      </c>
      <c r="T3" s="3">
        <v>6.11</v>
      </c>
      <c r="U3" s="3">
        <v>93736000000</v>
      </c>
      <c r="V3" s="3">
        <v>93736000000</v>
      </c>
      <c r="W3" s="3">
        <v>93736000000</v>
      </c>
      <c r="X3" s="3">
        <v>93736000000</v>
      </c>
      <c r="Y3" s="3">
        <v>93736000000</v>
      </c>
      <c r="Z3" s="3">
        <v>29749000000</v>
      </c>
      <c r="AA3" s="3">
        <v>123485000000</v>
      </c>
      <c r="AB3" s="3">
        <v>269000000</v>
      </c>
      <c r="AC3" s="3">
        <v>269000000</v>
      </c>
      <c r="AD3" s="3"/>
      <c r="AE3" s="3"/>
      <c r="AF3" s="3"/>
      <c r="AG3" s="3">
        <v>123216000000</v>
      </c>
      <c r="AH3" s="3">
        <v>57467000000</v>
      </c>
      <c r="AI3" s="3">
        <v>31370000000</v>
      </c>
      <c r="AJ3" s="3">
        <v>26097000000</v>
      </c>
      <c r="AK3" s="3">
        <v>180683000000</v>
      </c>
      <c r="AL3" s="3">
        <v>210352000000</v>
      </c>
      <c r="AM3" s="3">
        <v>391035000000</v>
      </c>
      <c r="AN3" s="3">
        <v>391035000000</v>
      </c>
    </row>
    <row r="4" spans="1:40" x14ac:dyDescent="0.3">
      <c r="A4" s="8">
        <v>45199</v>
      </c>
      <c r="B4" s="3">
        <v>0</v>
      </c>
      <c r="C4" s="3">
        <v>0.14699999999999999</v>
      </c>
      <c r="D4" s="3">
        <v>125820000000</v>
      </c>
      <c r="E4" s="3">
        <v>96995000000</v>
      </c>
      <c r="F4" s="3">
        <v>11519000000</v>
      </c>
      <c r="G4" s="3">
        <v>214137000000</v>
      </c>
      <c r="H4" s="3">
        <v>125820000000</v>
      </c>
      <c r="I4" s="3">
        <v>114301000000</v>
      </c>
      <c r="J4" s="3">
        <v>-183000000</v>
      </c>
      <c r="K4" s="3">
        <v>3933000000</v>
      </c>
      <c r="L4" s="3">
        <v>3750000000</v>
      </c>
      <c r="M4" s="3">
        <v>96995000000</v>
      </c>
      <c r="N4" s="3">
        <v>96995000000</v>
      </c>
      <c r="O4" s="3">
        <v>268984000000</v>
      </c>
      <c r="P4" s="3">
        <v>114301000000</v>
      </c>
      <c r="Q4" s="3">
        <v>15812547000</v>
      </c>
      <c r="R4" s="3">
        <v>15744231000</v>
      </c>
      <c r="S4" s="3">
        <v>6.13</v>
      </c>
      <c r="T4" s="3">
        <v>6.16</v>
      </c>
      <c r="U4" s="3">
        <v>96995000000</v>
      </c>
      <c r="V4" s="3">
        <v>96995000000</v>
      </c>
      <c r="W4" s="3">
        <v>96995000000</v>
      </c>
      <c r="X4" s="3">
        <v>96995000000</v>
      </c>
      <c r="Y4" s="3">
        <v>96995000000</v>
      </c>
      <c r="Z4" s="3">
        <v>16741000000</v>
      </c>
      <c r="AA4" s="3">
        <v>113736000000</v>
      </c>
      <c r="AB4" s="3">
        <v>-565000000</v>
      </c>
      <c r="AC4" s="3">
        <v>-565000000</v>
      </c>
      <c r="AD4" s="3">
        <v>-183000000</v>
      </c>
      <c r="AE4" s="3">
        <v>3933000000</v>
      </c>
      <c r="AF4" s="3">
        <v>3750000000</v>
      </c>
      <c r="AG4" s="3">
        <v>114301000000</v>
      </c>
      <c r="AH4" s="3">
        <v>54847000000</v>
      </c>
      <c r="AI4" s="3">
        <v>29915000000</v>
      </c>
      <c r="AJ4" s="3">
        <v>24932000000</v>
      </c>
      <c r="AK4" s="3">
        <v>169148000000</v>
      </c>
      <c r="AL4" s="3">
        <v>214137000000</v>
      </c>
      <c r="AM4" s="3">
        <v>383285000000</v>
      </c>
      <c r="AN4" s="3">
        <v>383285000000</v>
      </c>
    </row>
    <row r="5" spans="1:40" x14ac:dyDescent="0.3">
      <c r="A5" s="8">
        <v>44834</v>
      </c>
      <c r="B5" s="3">
        <v>0</v>
      </c>
      <c r="C5" s="3">
        <v>0.16200000000000001</v>
      </c>
      <c r="D5" s="3">
        <v>130541000000</v>
      </c>
      <c r="E5" s="3">
        <v>99803000000</v>
      </c>
      <c r="F5" s="3">
        <v>11104000000</v>
      </c>
      <c r="G5" s="3">
        <v>223546000000</v>
      </c>
      <c r="H5" s="3">
        <v>130541000000</v>
      </c>
      <c r="I5" s="3">
        <v>119437000000</v>
      </c>
      <c r="J5" s="3">
        <v>-106000000</v>
      </c>
      <c r="K5" s="3">
        <v>2931000000</v>
      </c>
      <c r="L5" s="3">
        <v>2825000000</v>
      </c>
      <c r="M5" s="3">
        <v>99803000000</v>
      </c>
      <c r="N5" s="3">
        <v>99803000000</v>
      </c>
      <c r="O5" s="3">
        <v>274891000000</v>
      </c>
      <c r="P5" s="3">
        <v>119437000000</v>
      </c>
      <c r="Q5" s="3">
        <v>16325819000</v>
      </c>
      <c r="R5" s="3">
        <v>16215963000</v>
      </c>
      <c r="S5" s="3">
        <v>6.11</v>
      </c>
      <c r="T5" s="3">
        <v>6.15</v>
      </c>
      <c r="U5" s="3">
        <v>99803000000</v>
      </c>
      <c r="V5" s="3">
        <v>99803000000</v>
      </c>
      <c r="W5" s="3">
        <v>99803000000</v>
      </c>
      <c r="X5" s="3">
        <v>99803000000</v>
      </c>
      <c r="Y5" s="3">
        <v>99803000000</v>
      </c>
      <c r="Z5" s="3">
        <v>19300000000</v>
      </c>
      <c r="AA5" s="3">
        <v>119103000000</v>
      </c>
      <c r="AB5" s="3">
        <v>-334000000</v>
      </c>
      <c r="AC5" s="3">
        <v>-334000000</v>
      </c>
      <c r="AD5" s="3">
        <v>-106000000</v>
      </c>
      <c r="AE5" s="3">
        <v>2931000000</v>
      </c>
      <c r="AF5" s="3">
        <v>2825000000</v>
      </c>
      <c r="AG5" s="3">
        <v>119437000000</v>
      </c>
      <c r="AH5" s="3">
        <v>51345000000</v>
      </c>
      <c r="AI5" s="3">
        <v>26251000000</v>
      </c>
      <c r="AJ5" s="3">
        <v>25094000000</v>
      </c>
      <c r="AK5" s="3">
        <v>170782000000</v>
      </c>
      <c r="AL5" s="3">
        <v>223546000000</v>
      </c>
      <c r="AM5" s="3">
        <v>394328000000</v>
      </c>
      <c r="AN5" s="3">
        <v>394328000000</v>
      </c>
    </row>
    <row r="6" spans="1:40" x14ac:dyDescent="0.3">
      <c r="A6" s="8">
        <v>44469</v>
      </c>
      <c r="B6" s="3"/>
      <c r="C6" s="3"/>
      <c r="D6" s="3"/>
      <c r="E6" s="3"/>
      <c r="F6" s="3"/>
      <c r="G6" s="3"/>
      <c r="H6" s="3"/>
      <c r="I6" s="3"/>
      <c r="J6" s="3">
        <v>198000000</v>
      </c>
      <c r="K6" s="3">
        <v>2645000000</v>
      </c>
      <c r="L6" s="3">
        <v>2843000000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198000000</v>
      </c>
      <c r="AE6" s="3">
        <v>2645000000</v>
      </c>
      <c r="AF6" s="3">
        <v>2843000000</v>
      </c>
      <c r="AG6" s="3"/>
      <c r="AH6" s="3"/>
      <c r="AI6" s="3"/>
      <c r="AJ6" s="3"/>
      <c r="AK6" s="3"/>
      <c r="AL6" s="3"/>
      <c r="AM6" s="3"/>
      <c r="AN6" s="3"/>
    </row>
    <row r="7" spans="1:40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12" spans="1:40" x14ac:dyDescent="0.3">
      <c r="K12" s="3"/>
      <c r="AG1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6F50-DF37-4E32-8DCA-4C797C00F1D4}">
  <dimension ref="A1:J29"/>
  <sheetViews>
    <sheetView workbookViewId="0">
      <selection activeCell="H8" sqref="H8"/>
    </sheetView>
  </sheetViews>
  <sheetFormatPr defaultRowHeight="14.4" x14ac:dyDescent="0.3"/>
  <cols>
    <col min="1" max="1" width="29.5546875" bestFit="1" customWidth="1"/>
    <col min="2" max="5" width="15.6640625" bestFit="1" customWidth="1"/>
    <col min="6" max="6" width="14.6640625" bestFit="1" customWidth="1"/>
    <col min="8" max="8" width="15.6640625" bestFit="1" customWidth="1"/>
    <col min="10" max="10" width="15.33203125" bestFit="1" customWidth="1"/>
  </cols>
  <sheetData>
    <row r="1" spans="1:10" x14ac:dyDescent="0.3">
      <c r="A1" s="11" t="s">
        <v>69</v>
      </c>
      <c r="B1" s="11">
        <v>2022</v>
      </c>
      <c r="C1" s="11">
        <v>2023</v>
      </c>
      <c r="D1" s="11">
        <v>2024</v>
      </c>
      <c r="E1" s="11">
        <v>2025</v>
      </c>
    </row>
    <row r="2" spans="1:10" x14ac:dyDescent="0.3">
      <c r="A2" s="11" t="s">
        <v>70</v>
      </c>
      <c r="B2" s="10">
        <f>Balance_raw!BP5</f>
        <v>23646000000</v>
      </c>
      <c r="C2" s="10">
        <f>Balance_raw!BP4</f>
        <v>29965000000</v>
      </c>
      <c r="D2" s="10">
        <f>Balance_raw!BP3</f>
        <v>29943000000</v>
      </c>
      <c r="E2" s="10">
        <f>Balance_raw!BP2</f>
        <v>35934000000</v>
      </c>
      <c r="F2" s="3"/>
    </row>
    <row r="3" spans="1:10" x14ac:dyDescent="0.3">
      <c r="A3" s="11" t="s">
        <v>63</v>
      </c>
      <c r="B3" s="10">
        <f>Balance_raw!BM5</f>
        <v>28184000000</v>
      </c>
      <c r="C3" s="10">
        <f>Balance_raw!BM4</f>
        <v>29508000000</v>
      </c>
      <c r="D3" s="10">
        <f>Balance_raw!BM3</f>
        <v>33410000000</v>
      </c>
      <c r="E3" s="10">
        <f>Balance_raw!BM2</f>
        <v>39777000000</v>
      </c>
    </row>
    <row r="4" spans="1:10" x14ac:dyDescent="0.3">
      <c r="A4" s="11" t="s">
        <v>60</v>
      </c>
      <c r="B4" s="10">
        <f>Balance_raw!BJ5</f>
        <v>4946000000</v>
      </c>
      <c r="C4" s="10">
        <f>Balance_raw!BJ4</f>
        <v>6331000000</v>
      </c>
      <c r="D4" s="9">
        <f>Balance_raw!BJ3</f>
        <v>7286000000</v>
      </c>
      <c r="E4" s="10">
        <f>Balance_raw!BJ2</f>
        <v>5718000000</v>
      </c>
    </row>
    <row r="5" spans="1:10" x14ac:dyDescent="0.3">
      <c r="A5" s="11" t="s">
        <v>59</v>
      </c>
      <c r="B5" s="10">
        <f>Balance_raw!BI5</f>
        <v>21223000000</v>
      </c>
      <c r="C5" s="10">
        <f>Balance_raw!BI4</f>
        <v>14695000000</v>
      </c>
      <c r="D5" s="10">
        <f>Balance_raw!BI3</f>
        <v>14287000000</v>
      </c>
      <c r="E5" s="10">
        <f>Balance_raw!BI2</f>
        <v>14585000000</v>
      </c>
    </row>
    <row r="6" spans="1:10" x14ac:dyDescent="0.3">
      <c r="A6" s="11" t="s">
        <v>71</v>
      </c>
      <c r="B6" s="10">
        <f>SUM(B2:B5)</f>
        <v>77999000000</v>
      </c>
      <c r="C6" s="10">
        <f t="shared" ref="C6:E6" si="0">SUM(C2:C5)</f>
        <v>80499000000</v>
      </c>
      <c r="D6" s="10">
        <f t="shared" si="0"/>
        <v>84926000000</v>
      </c>
      <c r="E6" s="10">
        <f t="shared" si="0"/>
        <v>96014000000</v>
      </c>
    </row>
    <row r="7" spans="1:10" x14ac:dyDescent="0.3">
      <c r="A7" s="11"/>
      <c r="B7" s="9"/>
      <c r="C7" s="9"/>
      <c r="D7" s="9"/>
      <c r="E7" s="9"/>
    </row>
    <row r="8" spans="1:10" x14ac:dyDescent="0.3">
      <c r="A8" s="11" t="s">
        <v>72</v>
      </c>
      <c r="B8" s="10">
        <f>Balance_raw!AZ5</f>
        <v>42117000000</v>
      </c>
      <c r="C8" s="10">
        <f>Balance_raw!AZ4</f>
        <v>43715000000</v>
      </c>
      <c r="D8" s="10">
        <f>Balance_raw!AZ3</f>
        <v>45680000000</v>
      </c>
      <c r="E8" s="10">
        <f>Balance_raw!AZ2</f>
        <v>49834000000</v>
      </c>
    </row>
    <row r="9" spans="1:10" x14ac:dyDescent="0.3">
      <c r="A9" s="11" t="s">
        <v>73</v>
      </c>
      <c r="B9" s="10">
        <f>Balance_raw!AS5</f>
        <v>39053000000</v>
      </c>
      <c r="C9" s="10">
        <f>Balance_raw!AS4</f>
        <v>46906000000</v>
      </c>
      <c r="D9" s="10">
        <f>Balance_raw!AS3</f>
        <v>55335000000</v>
      </c>
      <c r="E9" s="10">
        <f>Balance_raw!AS2</f>
        <v>62950000000</v>
      </c>
    </row>
    <row r="10" spans="1:10" x14ac:dyDescent="0.3">
      <c r="A10" s="11" t="s">
        <v>74</v>
      </c>
      <c r="B10" s="10">
        <f>SUM(B8:B9)</f>
        <v>81170000000</v>
      </c>
      <c r="C10" s="10">
        <f t="shared" ref="C10:E10" si="1">SUM(C8:C9)</f>
        <v>90621000000</v>
      </c>
      <c r="D10" s="10">
        <f t="shared" si="1"/>
        <v>101015000000</v>
      </c>
      <c r="E10" s="10">
        <f t="shared" si="1"/>
        <v>112784000000</v>
      </c>
      <c r="J10" s="3"/>
    </row>
    <row r="11" spans="1:10" x14ac:dyDescent="0.3">
      <c r="A11" s="11"/>
      <c r="B11" s="9"/>
      <c r="C11" s="9"/>
      <c r="D11" s="9"/>
      <c r="E11" s="9"/>
    </row>
    <row r="12" spans="1:10" x14ac:dyDescent="0.3">
      <c r="A12" s="11" t="s">
        <v>41</v>
      </c>
      <c r="B12" s="10">
        <f>B6+B10</f>
        <v>159169000000</v>
      </c>
      <c r="C12" s="10">
        <f t="shared" ref="C12:E12" si="2">C6+C10</f>
        <v>171120000000</v>
      </c>
      <c r="D12" s="10">
        <f t="shared" si="2"/>
        <v>185941000000</v>
      </c>
      <c r="E12" s="10">
        <f t="shared" si="2"/>
        <v>208798000000</v>
      </c>
    </row>
    <row r="13" spans="1:10" x14ac:dyDescent="0.3">
      <c r="A13" s="11"/>
      <c r="B13" s="9"/>
      <c r="C13" s="9"/>
      <c r="D13" s="9"/>
      <c r="E13" s="9"/>
    </row>
    <row r="14" spans="1:10" x14ac:dyDescent="0.3">
      <c r="A14" s="11" t="s">
        <v>40</v>
      </c>
      <c r="B14" s="10">
        <f>Balance_raw!AP5</f>
        <v>64115000000</v>
      </c>
      <c r="C14" s="10">
        <f>Balance_raw!AP4</f>
        <v>62611000000</v>
      </c>
      <c r="D14" s="10">
        <f>Balance_raw!AP3</f>
        <v>68960000000</v>
      </c>
      <c r="E14" s="9">
        <f>Balance_raw!AP2</f>
        <v>69860000000</v>
      </c>
      <c r="H14" s="3"/>
    </row>
    <row r="15" spans="1:10" x14ac:dyDescent="0.3">
      <c r="A15" s="11" t="s">
        <v>75</v>
      </c>
      <c r="B15" s="10">
        <f>Balance_raw!AL5</f>
        <v>0</v>
      </c>
      <c r="C15" s="10">
        <f>Balance_raw!AL4</f>
        <v>0</v>
      </c>
      <c r="D15" s="10">
        <f>Balance_raw!AL3</f>
        <v>7679000000</v>
      </c>
      <c r="E15" s="10">
        <f>Balance_raw!AL2</f>
        <v>8919000000</v>
      </c>
    </row>
    <row r="16" spans="1:10" x14ac:dyDescent="0.3">
      <c r="A16" s="11" t="s">
        <v>76</v>
      </c>
      <c r="B16" s="9">
        <f>Balance_raw!BS5</f>
        <v>33521000000</v>
      </c>
      <c r="C16" s="9">
        <f>Balance_raw!BS4</f>
        <v>15807000000</v>
      </c>
      <c r="D16" s="9">
        <f>Balance_raw!BS3</f>
        <v>20879000000</v>
      </c>
      <c r="E16" s="9">
        <f>Balance_raw!BS2</f>
        <v>20329000000</v>
      </c>
    </row>
    <row r="17" spans="1:5" x14ac:dyDescent="0.3">
      <c r="A17" s="11" t="s">
        <v>77</v>
      </c>
      <c r="B17" s="10">
        <f>SUM(B14:B16)</f>
        <v>97636000000</v>
      </c>
      <c r="C17" s="10">
        <f t="shared" ref="C17:E17" si="3">SUM(C14:C16)</f>
        <v>78418000000</v>
      </c>
      <c r="D17" s="10">
        <f t="shared" si="3"/>
        <v>97518000000</v>
      </c>
      <c r="E17" s="10">
        <f t="shared" si="3"/>
        <v>99108000000</v>
      </c>
    </row>
    <row r="18" spans="1:5" x14ac:dyDescent="0.3">
      <c r="A18" s="11"/>
      <c r="B18" s="9"/>
      <c r="C18" s="9"/>
      <c r="D18" s="9"/>
      <c r="E18" s="9"/>
    </row>
    <row r="19" spans="1:5" x14ac:dyDescent="0.3">
      <c r="A19" s="11" t="s">
        <v>78</v>
      </c>
      <c r="B19" s="10">
        <f>Balance_raw!AA5</f>
        <v>98959000000</v>
      </c>
      <c r="C19" s="10">
        <f>Balance_raw!AA4</f>
        <v>95281000000</v>
      </c>
      <c r="D19" s="10">
        <f>Balance_raw!AA3</f>
        <v>85750000000</v>
      </c>
      <c r="E19" s="10">
        <f>Balance_raw!AA2</f>
        <v>78328000000</v>
      </c>
    </row>
    <row r="20" spans="1:5" x14ac:dyDescent="0.3">
      <c r="A20" s="11" t="s">
        <v>79</v>
      </c>
      <c r="B20" s="10">
        <f>Balance_raw!W5</f>
        <v>21737000000</v>
      </c>
      <c r="C20" s="10">
        <f>Balance_raw!W4</f>
        <v>34391000000</v>
      </c>
      <c r="D20" s="10">
        <f>Balance_raw!W3</f>
        <v>45888000000</v>
      </c>
      <c r="E20" s="10">
        <f>Balance_raw!W2</f>
        <v>41549000000</v>
      </c>
    </row>
    <row r="21" spans="1:5" x14ac:dyDescent="0.3">
      <c r="A21" s="11" t="s">
        <v>80</v>
      </c>
      <c r="B21" s="10">
        <f>SUM(B19:B20)</f>
        <v>120696000000</v>
      </c>
      <c r="C21" s="10">
        <f t="shared" ref="C21:E21" si="4">SUM(C19:C20)</f>
        <v>129672000000</v>
      </c>
      <c r="D21" s="10">
        <f t="shared" si="4"/>
        <v>131638000000</v>
      </c>
      <c r="E21" s="10">
        <f t="shared" si="4"/>
        <v>119877000000</v>
      </c>
    </row>
    <row r="22" spans="1:5" x14ac:dyDescent="0.3">
      <c r="A22" s="11"/>
      <c r="B22" s="9"/>
      <c r="C22" s="9"/>
      <c r="D22" s="9"/>
      <c r="E22" s="9"/>
    </row>
    <row r="23" spans="1:5" x14ac:dyDescent="0.3">
      <c r="A23" s="11" t="s">
        <v>81</v>
      </c>
      <c r="B23" s="10">
        <f>B17+B21</f>
        <v>218332000000</v>
      </c>
      <c r="C23" s="10">
        <f t="shared" ref="C23:E23" si="5">C17+C21</f>
        <v>208090000000</v>
      </c>
      <c r="D23" s="10">
        <f t="shared" si="5"/>
        <v>229156000000</v>
      </c>
      <c r="E23" s="10">
        <f t="shared" si="5"/>
        <v>218985000000</v>
      </c>
    </row>
    <row r="24" spans="1:5" x14ac:dyDescent="0.3">
      <c r="A24" s="11"/>
      <c r="B24" s="9"/>
      <c r="C24" s="9"/>
      <c r="D24" s="9"/>
      <c r="E24" s="9"/>
    </row>
    <row r="25" spans="1:5" x14ac:dyDescent="0.3">
      <c r="A25" s="11" t="s">
        <v>18</v>
      </c>
      <c r="B25" s="10">
        <f>Balance_raw!L5</f>
        <v>50672000000</v>
      </c>
      <c r="C25" s="10">
        <f>Balance_raw!L4</f>
        <v>62146000000</v>
      </c>
      <c r="D25" s="10">
        <f>Balance_raw!L3</f>
        <v>56950000000</v>
      </c>
      <c r="E25" s="10">
        <f>Balance_raw!L2</f>
        <v>73733000000</v>
      </c>
    </row>
    <row r="26" spans="1:5" x14ac:dyDescent="0.3">
      <c r="A26" s="11" t="s">
        <v>16</v>
      </c>
      <c r="B26" s="10">
        <f>Balance_raw!R5</f>
        <v>-3068000000</v>
      </c>
      <c r="C26" s="10">
        <f>Balance_raw!R4</f>
        <v>-214000000</v>
      </c>
      <c r="D26" s="10">
        <f>Balance_raw!R3</f>
        <v>-19154000000</v>
      </c>
      <c r="E26" s="10">
        <f>Balance_raw!R2</f>
        <v>-14264000000</v>
      </c>
    </row>
    <row r="27" spans="1:5" x14ac:dyDescent="0.3">
      <c r="A27" s="11" t="s">
        <v>82</v>
      </c>
      <c r="B27" s="10">
        <f>B12-B23</f>
        <v>-59163000000</v>
      </c>
      <c r="C27" s="10">
        <f t="shared" ref="C27:E27" si="6">C12-C23</f>
        <v>-36970000000</v>
      </c>
      <c r="D27" s="10">
        <f t="shared" si="6"/>
        <v>-43215000000</v>
      </c>
      <c r="E27" s="10">
        <f t="shared" si="6"/>
        <v>-10187000000</v>
      </c>
    </row>
    <row r="29" spans="1:5" x14ac:dyDescent="0.3">
      <c r="B2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0A41-3CEE-4929-9EB9-8CFC493B4585}">
  <dimension ref="A1:E22"/>
  <sheetViews>
    <sheetView workbookViewId="0">
      <selection activeCell="A28" sqref="A28"/>
    </sheetView>
  </sheetViews>
  <sheetFormatPr defaultRowHeight="14.4" x14ac:dyDescent="0.3"/>
  <cols>
    <col min="1" max="1" width="30.88671875" bestFit="1" customWidth="1"/>
    <col min="2" max="2" width="16.33203125" bestFit="1" customWidth="1"/>
    <col min="3" max="3" width="15.6640625" bestFit="1" customWidth="1"/>
    <col min="4" max="5" width="16.33203125" bestFit="1" customWidth="1"/>
  </cols>
  <sheetData>
    <row r="1" spans="1:5" x14ac:dyDescent="0.3">
      <c r="A1" s="7" t="s">
        <v>137</v>
      </c>
      <c r="B1" s="7">
        <v>2022</v>
      </c>
      <c r="C1" s="7">
        <v>2023</v>
      </c>
      <c r="D1" s="7">
        <v>2024</v>
      </c>
      <c r="E1" s="7">
        <v>2025</v>
      </c>
    </row>
    <row r="2" spans="1:5" x14ac:dyDescent="0.3">
      <c r="A2" s="12" t="s">
        <v>138</v>
      </c>
      <c r="B2" s="13"/>
      <c r="C2" s="13"/>
      <c r="D2" s="13"/>
      <c r="E2" s="13"/>
    </row>
    <row r="3" spans="1:5" x14ac:dyDescent="0.3">
      <c r="A3" s="13" t="s">
        <v>139</v>
      </c>
      <c r="B3" s="14">
        <f>Cashflow_raw!BB5</f>
        <v>99803000000</v>
      </c>
      <c r="C3" s="14">
        <f>Cashflow_raw!BB4</f>
        <v>96995000000</v>
      </c>
      <c r="D3" s="14">
        <f>Cashflow_raw!BB3</f>
        <v>93736000000</v>
      </c>
      <c r="E3" s="14">
        <f>Cashflow_raw!BB2</f>
        <v>112010000000</v>
      </c>
    </row>
    <row r="4" spans="1:5" x14ac:dyDescent="0.3">
      <c r="A4" s="13" t="s">
        <v>140</v>
      </c>
      <c r="B4" s="14">
        <f>Cashflow_raw!BA5</f>
        <v>11104000000</v>
      </c>
      <c r="C4" s="14">
        <f>Cashflow_raw!BA4</f>
        <v>11519000000</v>
      </c>
      <c r="D4" s="14">
        <f>Cashflow_raw!BA3</f>
        <v>11445000000</v>
      </c>
      <c r="E4" s="14">
        <f>Cashflow_raw!BA2</f>
        <v>11698000000</v>
      </c>
    </row>
    <row r="5" spans="1:5" x14ac:dyDescent="0.3">
      <c r="A5" s="13" t="s">
        <v>141</v>
      </c>
      <c r="B5" s="14">
        <f>Cashflow_raw!AW5</f>
        <v>9038000000</v>
      </c>
      <c r="C5" s="14">
        <f>Cashflow_raw!AW4</f>
        <v>10833000000</v>
      </c>
      <c r="D5" s="14">
        <f>Cashflow_raw!AW3</f>
        <v>11688000000</v>
      </c>
      <c r="E5" s="14">
        <f>Cashflow_raw!AW2</f>
        <v>12863000000</v>
      </c>
    </row>
    <row r="6" spans="1:5" x14ac:dyDescent="0.3">
      <c r="A6" s="13" t="s">
        <v>142</v>
      </c>
      <c r="B6" s="14">
        <f>Cashflow_raw!AU5</f>
        <v>-1823000000</v>
      </c>
      <c r="C6" s="14">
        <f>Cashflow_raw!AU4</f>
        <v>-1688000000</v>
      </c>
      <c r="D6" s="14">
        <f>Cashflow_raw!AU3</f>
        <v>-3788000000</v>
      </c>
      <c r="E6" s="14">
        <f>Cashflow_raw!AU2</f>
        <v>-6682000000</v>
      </c>
    </row>
    <row r="7" spans="1:5" x14ac:dyDescent="0.3">
      <c r="A7" s="13" t="s">
        <v>143</v>
      </c>
      <c r="B7" s="14">
        <f>Cashflow_raw!AS5</f>
        <v>1484000000</v>
      </c>
      <c r="C7" s="14">
        <f>Cashflow_raw!AS4</f>
        <v>-1618000000</v>
      </c>
      <c r="D7" s="14">
        <f>Cashflow_raw!AS3</f>
        <v>-1046000000</v>
      </c>
      <c r="E7" s="14">
        <f>Cashflow_raw!AS2</f>
        <v>1400000000</v>
      </c>
    </row>
    <row r="8" spans="1:5" x14ac:dyDescent="0.3">
      <c r="A8" s="13" t="s">
        <v>144</v>
      </c>
      <c r="B8" s="14">
        <f>Cashflow_raw!AR5</f>
        <v>9448000000</v>
      </c>
      <c r="C8" s="14">
        <f>Cashflow_raw!AR4</f>
        <v>-1889000000</v>
      </c>
      <c r="D8" s="14">
        <f>Cashflow_raw!AR3</f>
        <v>6020000000</v>
      </c>
      <c r="E8" s="14">
        <f>Cashflow_raw!AR2</f>
        <v>902000000</v>
      </c>
    </row>
    <row r="9" spans="1:5" x14ac:dyDescent="0.3">
      <c r="A9" s="12" t="s">
        <v>145</v>
      </c>
      <c r="B9" s="14">
        <f>SUM(B3:B8)</f>
        <v>129054000000</v>
      </c>
      <c r="C9" s="14">
        <f t="shared" ref="C9:E9" si="0">SUM(C3:C8)</f>
        <v>114152000000</v>
      </c>
      <c r="D9" s="14">
        <f t="shared" si="0"/>
        <v>118055000000</v>
      </c>
      <c r="E9" s="14">
        <f t="shared" si="0"/>
        <v>132191000000</v>
      </c>
    </row>
    <row r="10" spans="1:5" x14ac:dyDescent="0.3">
      <c r="A10" s="12" t="s">
        <v>146</v>
      </c>
      <c r="B10" s="13"/>
      <c r="C10" s="13"/>
      <c r="D10" s="13"/>
      <c r="E10" s="13"/>
    </row>
    <row r="11" spans="1:5" x14ac:dyDescent="0.3">
      <c r="A11" s="13" t="s">
        <v>147</v>
      </c>
      <c r="B11" s="14">
        <f>Cashflow_raw!G5</f>
        <v>-10708000000</v>
      </c>
      <c r="C11" s="14">
        <f>Cashflow_raw!G4</f>
        <v>-10959000000</v>
      </c>
      <c r="D11" s="14">
        <f>Cashflow_raw!G3</f>
        <v>-9447000000</v>
      </c>
      <c r="E11" s="14">
        <f>Cashflow_raw!G2</f>
        <v>-12715000000</v>
      </c>
    </row>
    <row r="12" spans="1:5" x14ac:dyDescent="0.3">
      <c r="A12" s="13" t="s">
        <v>148</v>
      </c>
      <c r="B12" s="14">
        <f>Cashflow_raw!AD5</f>
        <v>67363000000</v>
      </c>
      <c r="C12" s="14">
        <f>Cashflow_raw!AD4</f>
        <v>45514000000</v>
      </c>
      <c r="D12" s="14">
        <f>Cashflow_raw!AD3</f>
        <v>62346000000</v>
      </c>
      <c r="E12" s="14">
        <f>Cashflow_raw!AD2</f>
        <v>53797000000</v>
      </c>
    </row>
    <row r="13" spans="1:5" x14ac:dyDescent="0.3">
      <c r="A13" s="12" t="s">
        <v>149</v>
      </c>
      <c r="B13" s="14">
        <f>SUM(B11:B12)</f>
        <v>56655000000</v>
      </c>
      <c r="C13" s="14">
        <f t="shared" ref="C13:E13" si="1">SUM(C11:C12)</f>
        <v>34555000000</v>
      </c>
      <c r="D13" s="14">
        <f t="shared" si="1"/>
        <v>52899000000</v>
      </c>
      <c r="E13" s="14">
        <f t="shared" si="1"/>
        <v>41082000000</v>
      </c>
    </row>
    <row r="14" spans="1:5" x14ac:dyDescent="0.3">
      <c r="A14" s="12" t="s">
        <v>150</v>
      </c>
      <c r="B14" s="13"/>
      <c r="C14" s="13"/>
      <c r="D14" s="13"/>
      <c r="E14" s="13"/>
    </row>
    <row r="15" spans="1:5" x14ac:dyDescent="0.3">
      <c r="A15" s="13" t="s">
        <v>151</v>
      </c>
      <c r="B15" s="14">
        <f>Cashflow_raw!E5</f>
        <v>5465000000</v>
      </c>
      <c r="C15" s="14">
        <f>Cashflow_raw!E4</f>
        <v>5228000000</v>
      </c>
      <c r="D15" s="14">
        <f>Cashflow_raw!E3</f>
        <v>0</v>
      </c>
      <c r="E15" s="14">
        <f>Cashflow_raw!E2</f>
        <v>4481000000</v>
      </c>
    </row>
    <row r="16" spans="1:5" x14ac:dyDescent="0.3">
      <c r="A16" s="13" t="s">
        <v>152</v>
      </c>
      <c r="B16" s="14">
        <f>Cashflow_raw!D5</f>
        <v>-9543000000</v>
      </c>
      <c r="C16" s="14">
        <f>Cashflow_raw!D4</f>
        <v>-11151000000</v>
      </c>
      <c r="D16" s="14">
        <f>Cashflow_raw!D3</f>
        <v>-9958000000</v>
      </c>
      <c r="E16" s="14">
        <f>Cashflow_raw!D2</f>
        <v>-10932000000</v>
      </c>
    </row>
    <row r="17" spans="1:5" x14ac:dyDescent="0.3">
      <c r="A17" s="13" t="s">
        <v>153</v>
      </c>
      <c r="B17" s="14">
        <f>Cashflow_raw!P5</f>
        <v>-14841000000</v>
      </c>
      <c r="C17" s="14">
        <f>Cashflow_raw!P4</f>
        <v>-15025000000</v>
      </c>
      <c r="D17" s="14">
        <f>Cashflow_raw!P3</f>
        <v>-15234000000</v>
      </c>
      <c r="E17" s="14">
        <f>Cashflow_raw!P2</f>
        <v>-15421000000</v>
      </c>
    </row>
    <row r="18" spans="1:5" x14ac:dyDescent="0.3">
      <c r="A18" s="13" t="s">
        <v>154</v>
      </c>
      <c r="B18" s="14">
        <f>Cashflow_raw!C5</f>
        <v>-89402000000</v>
      </c>
      <c r="C18" s="14">
        <f>Cashflow_raw!C4</f>
        <v>-77550000000</v>
      </c>
      <c r="D18" s="14">
        <f>Cashflow_raw!C3</f>
        <v>-94949000000</v>
      </c>
      <c r="E18" s="14">
        <f>Cashflow_raw!C2</f>
        <v>-90711000000</v>
      </c>
    </row>
    <row r="19" spans="1:5" x14ac:dyDescent="0.3">
      <c r="A19" s="12" t="s">
        <v>155</v>
      </c>
      <c r="B19" s="14">
        <f>SUM(B15:B18)</f>
        <v>-108321000000</v>
      </c>
      <c r="C19" s="14">
        <f t="shared" ref="C19:E19" si="2">SUM(C15:C18)</f>
        <v>-98498000000</v>
      </c>
      <c r="D19" s="14">
        <f t="shared" si="2"/>
        <v>-120141000000</v>
      </c>
      <c r="E19" s="14">
        <f t="shared" si="2"/>
        <v>-112583000000</v>
      </c>
    </row>
    <row r="20" spans="1:5" x14ac:dyDescent="0.3">
      <c r="A20" s="12" t="s">
        <v>156</v>
      </c>
      <c r="B20" s="13"/>
      <c r="C20" s="14">
        <f>C22-C21</f>
        <v>6319000000</v>
      </c>
      <c r="D20" s="14">
        <f t="shared" ref="D20:E20" si="3">D22-D21</f>
        <v>-22000000</v>
      </c>
      <c r="E20" s="14">
        <f t="shared" si="3"/>
        <v>5991000000</v>
      </c>
    </row>
    <row r="21" spans="1:5" x14ac:dyDescent="0.3">
      <c r="A21" s="13" t="s">
        <v>157</v>
      </c>
      <c r="B21" s="13"/>
      <c r="C21" s="14">
        <f>Balance_clean!B2</f>
        <v>23646000000</v>
      </c>
      <c r="D21" s="14">
        <f>Balance_clean!C2</f>
        <v>29965000000</v>
      </c>
      <c r="E21" s="14">
        <f>Balance_clean!D2</f>
        <v>29943000000</v>
      </c>
    </row>
    <row r="22" spans="1:5" x14ac:dyDescent="0.3">
      <c r="A22" s="13" t="s">
        <v>158</v>
      </c>
      <c r="B22" s="14">
        <f>Balance_clean!B2</f>
        <v>23646000000</v>
      </c>
      <c r="C22" s="14">
        <f>Balance_clean!C2</f>
        <v>29965000000</v>
      </c>
      <c r="D22" s="14">
        <f>Balance_clean!D2</f>
        <v>29943000000</v>
      </c>
      <c r="E22" s="14">
        <f>Balance_clean!E2</f>
        <v>35934000000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65AB-8497-47D7-B3B8-5DBA7BEDE384}">
  <dimension ref="A1:I23"/>
  <sheetViews>
    <sheetView workbookViewId="0">
      <selection activeCell="I14" sqref="I14"/>
    </sheetView>
  </sheetViews>
  <sheetFormatPr defaultRowHeight="14.4" x14ac:dyDescent="0.3"/>
  <cols>
    <col min="1" max="1" width="37.21875" customWidth="1"/>
    <col min="2" max="5" width="15.6640625" bestFit="1" customWidth="1"/>
    <col min="9" max="9" width="15.6640625" bestFit="1" customWidth="1"/>
  </cols>
  <sheetData>
    <row r="1" spans="1:5" x14ac:dyDescent="0.3">
      <c r="A1" s="11" t="s">
        <v>137</v>
      </c>
      <c r="B1" s="11">
        <v>2022</v>
      </c>
      <c r="C1" s="11">
        <v>2023</v>
      </c>
      <c r="D1" s="11">
        <v>2024</v>
      </c>
      <c r="E1" s="11">
        <v>2025</v>
      </c>
    </row>
    <row r="2" spans="1:5" x14ac:dyDescent="0.3">
      <c r="A2" s="11" t="s">
        <v>197</v>
      </c>
      <c r="B2" s="10">
        <f>Income_raw!AM5</f>
        <v>394328000000</v>
      </c>
      <c r="C2" s="10">
        <f>Income_raw!AM4</f>
        <v>383285000000</v>
      </c>
      <c r="D2" s="10">
        <f>Income_raw!AM3</f>
        <v>391035000000</v>
      </c>
      <c r="E2" s="10">
        <f>Income_raw!AM2</f>
        <v>416161000000</v>
      </c>
    </row>
    <row r="3" spans="1:5" x14ac:dyDescent="0.3">
      <c r="A3" s="11" t="s">
        <v>198</v>
      </c>
      <c r="B3" s="10">
        <f>Income_raw!AL5</f>
        <v>223546000000</v>
      </c>
      <c r="C3" s="10">
        <f>Income_raw!AL4</f>
        <v>214137000000</v>
      </c>
      <c r="D3" s="10">
        <f>Income_raw!AL3</f>
        <v>210352000000</v>
      </c>
      <c r="E3" s="10">
        <f>Income_raw!AL2</f>
        <v>220960000000</v>
      </c>
    </row>
    <row r="4" spans="1:5" x14ac:dyDescent="0.3">
      <c r="A4" s="11" t="s">
        <v>193</v>
      </c>
      <c r="B4" s="10">
        <f>Income_raw!AK5</f>
        <v>170782000000</v>
      </c>
      <c r="C4" s="10">
        <f>Income_raw!AK4</f>
        <v>169148000000</v>
      </c>
      <c r="D4" s="10">
        <f>Income_raw!AK3</f>
        <v>180683000000</v>
      </c>
      <c r="E4" s="10">
        <f>Income_raw!AK2</f>
        <v>195201000000</v>
      </c>
    </row>
    <row r="5" spans="1:5" x14ac:dyDescent="0.3">
      <c r="A5" s="11"/>
      <c r="B5" s="9"/>
      <c r="C5" s="9"/>
      <c r="D5" s="9"/>
      <c r="E5" s="9"/>
    </row>
    <row r="6" spans="1:5" x14ac:dyDescent="0.3">
      <c r="A6" s="11" t="s">
        <v>199</v>
      </c>
      <c r="B6" s="9"/>
      <c r="C6" s="9"/>
      <c r="D6" s="9"/>
      <c r="E6" s="9"/>
    </row>
    <row r="7" spans="1:5" x14ac:dyDescent="0.3">
      <c r="A7" s="11" t="s">
        <v>207</v>
      </c>
      <c r="B7" s="10">
        <f>Income_raw!AJ5</f>
        <v>25094000000</v>
      </c>
      <c r="C7" s="10">
        <f>Income_raw!AJ4</f>
        <v>24932000000</v>
      </c>
      <c r="D7" s="10">
        <f>Income_raw!AJ3</f>
        <v>26097000000</v>
      </c>
      <c r="E7" s="10">
        <f>Income_raw!AJ2</f>
        <v>27601000000</v>
      </c>
    </row>
    <row r="8" spans="1:5" x14ac:dyDescent="0.3">
      <c r="A8" s="11"/>
      <c r="B8" s="9"/>
      <c r="C8" s="9"/>
      <c r="D8" s="9"/>
      <c r="E8" s="9"/>
    </row>
    <row r="9" spans="1:5" x14ac:dyDescent="0.3">
      <c r="A9" s="11" t="s">
        <v>200</v>
      </c>
      <c r="B9" s="10">
        <f>B7</f>
        <v>25094000000</v>
      </c>
      <c r="C9" s="10">
        <f t="shared" ref="C9:E9" si="0">C7</f>
        <v>24932000000</v>
      </c>
      <c r="D9" s="10">
        <f t="shared" si="0"/>
        <v>26097000000</v>
      </c>
      <c r="E9" s="10">
        <f t="shared" si="0"/>
        <v>27601000000</v>
      </c>
    </row>
    <row r="10" spans="1:5" x14ac:dyDescent="0.3">
      <c r="A10" s="11"/>
      <c r="B10" s="9"/>
      <c r="C10" s="9"/>
      <c r="D10" s="9"/>
      <c r="E10" s="9"/>
    </row>
    <row r="11" spans="1:5" x14ac:dyDescent="0.3">
      <c r="A11" s="11" t="s">
        <v>189</v>
      </c>
      <c r="B11" s="10">
        <f>Income_raw!AG5</f>
        <v>119437000000</v>
      </c>
      <c r="C11" s="10">
        <f>Income_raw!AG4</f>
        <v>114301000000</v>
      </c>
      <c r="D11" s="10">
        <f>Income_raw!AG3</f>
        <v>123216000000</v>
      </c>
      <c r="E11" s="10">
        <f>Income_raw!AG2</f>
        <v>133050000000</v>
      </c>
    </row>
    <row r="12" spans="1:5" x14ac:dyDescent="0.3">
      <c r="A12" s="11"/>
      <c r="B12" s="9"/>
      <c r="C12" s="9"/>
      <c r="D12" s="9"/>
      <c r="E12" s="9"/>
    </row>
    <row r="13" spans="1:5" x14ac:dyDescent="0.3">
      <c r="A13" s="11" t="s">
        <v>201</v>
      </c>
      <c r="B13" s="9"/>
      <c r="C13" s="9"/>
      <c r="D13" s="9"/>
      <c r="E13" s="9"/>
    </row>
    <row r="14" spans="1:5" x14ac:dyDescent="0.3">
      <c r="A14" s="11" t="s">
        <v>202</v>
      </c>
      <c r="B14" s="10">
        <f>Income_raw!K5</f>
        <v>2931000000</v>
      </c>
      <c r="C14" s="10">
        <f>Income_raw!K4</f>
        <v>3933000000</v>
      </c>
      <c r="D14" s="9"/>
      <c r="E14" s="9"/>
    </row>
    <row r="15" spans="1:5" x14ac:dyDescent="0.3">
      <c r="A15" s="11" t="s">
        <v>203</v>
      </c>
      <c r="B15" s="10">
        <f>Income_raw!AB5</f>
        <v>-334000000</v>
      </c>
      <c r="C15" s="10">
        <f>Income_raw!AB4</f>
        <v>-565000000</v>
      </c>
      <c r="D15" s="10">
        <f>Income_raw!AB3</f>
        <v>269000000</v>
      </c>
      <c r="E15" s="10">
        <f>Income_raw!AB2</f>
        <v>-321000000</v>
      </c>
    </row>
    <row r="16" spans="1:5" x14ac:dyDescent="0.3">
      <c r="A16" s="11" t="s">
        <v>204</v>
      </c>
      <c r="B16" s="10">
        <f>SUM(B14:B15)</f>
        <v>2597000000</v>
      </c>
      <c r="C16" s="10">
        <f t="shared" ref="C16:E16" si="1">SUM(C14:C15)</f>
        <v>3368000000</v>
      </c>
      <c r="D16" s="10">
        <f t="shared" si="1"/>
        <v>269000000</v>
      </c>
      <c r="E16" s="10">
        <f t="shared" si="1"/>
        <v>-321000000</v>
      </c>
    </row>
    <row r="17" spans="1:9" x14ac:dyDescent="0.3">
      <c r="A17" s="11"/>
      <c r="B17" s="9"/>
      <c r="C17" s="9"/>
      <c r="D17" s="9"/>
      <c r="E17" s="9"/>
      <c r="I17" s="3"/>
    </row>
    <row r="18" spans="1:9" x14ac:dyDescent="0.3">
      <c r="A18" s="11" t="s">
        <v>205</v>
      </c>
      <c r="B18" s="10">
        <f>Income_raw!AA5</f>
        <v>119103000000</v>
      </c>
      <c r="C18" s="10">
        <f>Income_raw!AA4</f>
        <v>113736000000</v>
      </c>
      <c r="D18" s="10">
        <f>Income_raw!AA3</f>
        <v>123485000000</v>
      </c>
      <c r="E18" s="10">
        <f>Income_raw!AA2</f>
        <v>132729000000</v>
      </c>
    </row>
    <row r="19" spans="1:9" x14ac:dyDescent="0.3">
      <c r="A19" s="11" t="s">
        <v>206</v>
      </c>
      <c r="B19" s="10">
        <f>Income_raw!Z5</f>
        <v>19300000000</v>
      </c>
      <c r="C19" s="10">
        <f>Income_raw!Z4</f>
        <v>16741000000</v>
      </c>
      <c r="D19" s="10">
        <f>Income_raw!Z3</f>
        <v>29749000000</v>
      </c>
      <c r="E19" s="10">
        <f>Income_raw!Z2</f>
        <v>20719000000</v>
      </c>
    </row>
    <row r="20" spans="1:9" x14ac:dyDescent="0.3">
      <c r="A20" s="11"/>
      <c r="B20" s="9"/>
      <c r="C20" s="9"/>
      <c r="D20" s="9"/>
      <c r="E20" s="9"/>
    </row>
    <row r="21" spans="1:9" x14ac:dyDescent="0.3">
      <c r="A21" s="11" t="s">
        <v>139</v>
      </c>
      <c r="B21" s="10">
        <f>Income_raw!W5</f>
        <v>99803000000</v>
      </c>
      <c r="C21" s="10">
        <f>Income_raw!W4</f>
        <v>96995000000</v>
      </c>
      <c r="D21" s="10">
        <f>Income_raw!W3</f>
        <v>93736000000</v>
      </c>
      <c r="E21" s="10">
        <f>Income_raw!W2</f>
        <v>112010000000</v>
      </c>
    </row>
    <row r="23" spans="1:9" x14ac:dyDescent="0.3">
      <c r="B23" s="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0392-975B-446B-AE4C-DB41DF66D55E}">
  <dimension ref="A1:H11"/>
  <sheetViews>
    <sheetView workbookViewId="0">
      <selection activeCell="C17" sqref="C17"/>
    </sheetView>
  </sheetViews>
  <sheetFormatPr defaultRowHeight="14.4" x14ac:dyDescent="0.3"/>
  <cols>
    <col min="1" max="1" width="26.21875" bestFit="1" customWidth="1"/>
    <col min="2" max="2" width="15.44140625" customWidth="1"/>
    <col min="3" max="5" width="15.6640625" bestFit="1" customWidth="1"/>
    <col min="7" max="7" width="26.21875" bestFit="1" customWidth="1"/>
    <col min="8" max="8" width="12.6640625" bestFit="1" customWidth="1"/>
  </cols>
  <sheetData>
    <row r="1" spans="1:8" x14ac:dyDescent="0.3">
      <c r="A1" s="16" t="s">
        <v>208</v>
      </c>
      <c r="B1" s="16">
        <v>2022</v>
      </c>
      <c r="C1" s="16">
        <v>2023</v>
      </c>
      <c r="D1" s="16">
        <v>2024</v>
      </c>
      <c r="E1" s="16">
        <v>2025</v>
      </c>
      <c r="G1" s="4"/>
      <c r="H1" s="4"/>
    </row>
    <row r="2" spans="1:8" x14ac:dyDescent="0.3">
      <c r="A2" s="16" t="s">
        <v>209</v>
      </c>
      <c r="B2" s="16"/>
      <c r="C2" s="17">
        <f>(Income_clean!C2-Income_clean!B2)/(Income_clean!B2)</f>
        <v>-2.8004605303199367E-2</v>
      </c>
      <c r="D2" s="17">
        <f>(Income_clean!D2-Income_clean!C2)/(Income_clean!C2)</f>
        <v>2.0219940775141214E-2</v>
      </c>
      <c r="E2" s="17">
        <f>(Income_clean!E2-Income_clean!D2)/(Income_clean!D2)</f>
        <v>6.4255117828327393E-2</v>
      </c>
      <c r="H2" s="25"/>
    </row>
    <row r="3" spans="1:8" x14ac:dyDescent="0.3">
      <c r="A3" s="16" t="s">
        <v>210</v>
      </c>
      <c r="B3" s="17">
        <f>(Income_clean!B2-Income_clean!B3)/(Income_clean!B2)</f>
        <v>0.43309630561360085</v>
      </c>
      <c r="C3" s="17">
        <f>(Income_clean!C2-Income_clean!C3)/(Income_clean!C2)</f>
        <v>0.44131129577207562</v>
      </c>
      <c r="D3" s="17">
        <f>(Income_clean!D2-Income_clean!D3)/(Income_clean!D2)</f>
        <v>0.46206349815233932</v>
      </c>
      <c r="E3" s="17">
        <f>(Income_clean!E2-Income_clean!E3)/(Income_clean!E2)</f>
        <v>0.46905164107160452</v>
      </c>
      <c r="H3" s="25"/>
    </row>
    <row r="4" spans="1:8" x14ac:dyDescent="0.3">
      <c r="A4" s="16" t="s">
        <v>211</v>
      </c>
      <c r="B4" s="17">
        <f>(Income_clean!B11)/(Income_clean!B2)</f>
        <v>0.30288744395528594</v>
      </c>
      <c r="C4" s="17">
        <f>(Income_clean!C11)/(Income_clean!C2)</f>
        <v>0.29821412265024722</v>
      </c>
      <c r="D4" s="17">
        <f>(Income_clean!D11)/(Income_clean!D2)</f>
        <v>0.31510222870075566</v>
      </c>
      <c r="E4" s="17">
        <f>(Income_clean!E11)/(Income_clean!E2)</f>
        <v>0.31970799762591884</v>
      </c>
      <c r="H4" s="25"/>
    </row>
    <row r="5" spans="1:8" x14ac:dyDescent="0.3">
      <c r="A5" s="16" t="s">
        <v>212</v>
      </c>
      <c r="B5" s="17">
        <f>(Income_clean!B21)/(Income_clean!B2)</f>
        <v>0.25309640705199732</v>
      </c>
      <c r="C5" s="17">
        <f>(Income_clean!C21)/(Income_clean!C2)</f>
        <v>0.25306234264320282</v>
      </c>
      <c r="D5" s="17">
        <f>(Income_clean!D21)/(Income_clean!D2)</f>
        <v>0.23971255769943867</v>
      </c>
      <c r="E5" s="17">
        <f>(Income_clean!E21)/(Income_clean!E2)</f>
        <v>0.26915064121818238</v>
      </c>
    </row>
    <row r="6" spans="1:8" x14ac:dyDescent="0.3">
      <c r="A6" s="16" t="s">
        <v>84</v>
      </c>
      <c r="B6" s="18">
        <f>Cashflow_clean!B9-Cashflow_clean!B11</f>
        <v>139762000000</v>
      </c>
      <c r="C6" s="18">
        <f>Cashflow_clean!C9-Cashflow_clean!C11</f>
        <v>125111000000</v>
      </c>
      <c r="D6" s="18">
        <f>Cashflow_clean!D9-Cashflow_clean!D11</f>
        <v>127502000000</v>
      </c>
      <c r="E6" s="18">
        <f>Cashflow_clean!E9-Cashflow_clean!E11</f>
        <v>144906000000</v>
      </c>
    </row>
    <row r="7" spans="1:8" x14ac:dyDescent="0.3">
      <c r="A7" s="23"/>
    </row>
    <row r="8" spans="1:8" x14ac:dyDescent="0.3">
      <c r="A8" s="16" t="s">
        <v>221</v>
      </c>
      <c r="B8" s="11" t="s">
        <v>222</v>
      </c>
    </row>
    <row r="9" spans="1:8" x14ac:dyDescent="0.3">
      <c r="A9" s="24" t="s">
        <v>220</v>
      </c>
      <c r="B9" s="26">
        <v>-3.8709948978793429E-3</v>
      </c>
    </row>
    <row r="10" spans="1:8" x14ac:dyDescent="0.3">
      <c r="A10" s="9" t="s">
        <v>223</v>
      </c>
      <c r="B10" s="26">
        <v>-3.9450634871626138E-2</v>
      </c>
    </row>
    <row r="11" spans="1:8" x14ac:dyDescent="0.3">
      <c r="A11" s="9" t="s">
        <v>224</v>
      </c>
      <c r="B11" s="26">
        <v>0.48195595462990659</v>
      </c>
    </row>
  </sheetData>
  <conditionalFormatting sqref="A8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E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H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31848-4EFE-4D50-A298-0DFE4FD89506}">
  <dimension ref="A1:L25"/>
  <sheetViews>
    <sheetView zoomScale="74" zoomScaleNormal="74" workbookViewId="0">
      <selection activeCell="K9" sqref="K9"/>
    </sheetView>
  </sheetViews>
  <sheetFormatPr defaultRowHeight="14.4" x14ac:dyDescent="0.3"/>
  <cols>
    <col min="1" max="1" width="19.77734375" customWidth="1"/>
    <col min="2" max="3" width="19.44140625" bestFit="1" customWidth="1"/>
    <col min="4" max="7" width="16.44140625" bestFit="1" customWidth="1"/>
    <col min="8" max="9" width="15.6640625" bestFit="1" customWidth="1"/>
    <col min="10" max="10" width="23.44140625" customWidth="1"/>
    <col min="11" max="11" width="26.88671875" customWidth="1"/>
    <col min="12" max="12" width="15.6640625" bestFit="1" customWidth="1"/>
  </cols>
  <sheetData>
    <row r="1" spans="1:12" x14ac:dyDescent="0.3">
      <c r="A1" s="11"/>
      <c r="B1" s="11">
        <v>2025</v>
      </c>
      <c r="C1" s="11">
        <v>2026</v>
      </c>
      <c r="D1" s="11">
        <v>2027</v>
      </c>
      <c r="E1" s="11">
        <v>2028</v>
      </c>
      <c r="F1" s="11">
        <v>2029</v>
      </c>
      <c r="G1" s="11">
        <v>2030</v>
      </c>
      <c r="I1" s="31" t="s">
        <v>219</v>
      </c>
      <c r="J1" s="31" t="s">
        <v>197</v>
      </c>
      <c r="K1" s="31" t="s">
        <v>84</v>
      </c>
    </row>
    <row r="2" spans="1:12" x14ac:dyDescent="0.3">
      <c r="A2" s="20" t="s">
        <v>197</v>
      </c>
      <c r="B2" s="21">
        <f>Income_clean!E2</f>
        <v>416161000000</v>
      </c>
      <c r="C2" s="21">
        <f>B2*1.05</f>
        <v>436969050000</v>
      </c>
      <c r="D2" s="21">
        <f t="shared" ref="D2:G2" si="0">C2*1.05</f>
        <v>458817502500</v>
      </c>
      <c r="E2" s="21">
        <f t="shared" si="0"/>
        <v>481758377625</v>
      </c>
      <c r="F2" s="21">
        <f t="shared" si="0"/>
        <v>505846296506.25</v>
      </c>
      <c r="G2" s="21">
        <f t="shared" si="0"/>
        <v>531138611331.5625</v>
      </c>
      <c r="H2" s="3"/>
      <c r="I2" s="33">
        <v>2026</v>
      </c>
      <c r="J2" s="34">
        <f>C2</f>
        <v>436969050000</v>
      </c>
      <c r="K2" s="34">
        <f>C9</f>
        <v>152151300000</v>
      </c>
      <c r="L2" s="3"/>
    </row>
    <row r="3" spans="1:12" x14ac:dyDescent="0.3">
      <c r="A3" s="11" t="s">
        <v>213</v>
      </c>
      <c r="B3" s="15">
        <f>B4/B2</f>
        <v>0.53094835892839554</v>
      </c>
      <c r="C3" s="15">
        <f>(Income_clean!E3)/(Income_clean!E2)</f>
        <v>0.53094835892839554</v>
      </c>
      <c r="D3" s="15">
        <f>D4/D2</f>
        <v>0.53094835892839554</v>
      </c>
      <c r="E3" s="15">
        <f>E4/E2</f>
        <v>0.53094835892839554</v>
      </c>
      <c r="F3" s="15">
        <f>F4/F2</f>
        <v>0.53094835892839554</v>
      </c>
      <c r="G3" s="15">
        <f>G4/G2</f>
        <v>0.53094835892839554</v>
      </c>
      <c r="H3" s="3"/>
      <c r="I3" s="13">
        <v>2027</v>
      </c>
      <c r="J3" s="32">
        <f>D2</f>
        <v>458817502500</v>
      </c>
      <c r="K3" s="32">
        <f>D9</f>
        <v>159758865000</v>
      </c>
      <c r="L3" s="3"/>
    </row>
    <row r="4" spans="1:12" x14ac:dyDescent="0.3">
      <c r="A4" s="20" t="s">
        <v>214</v>
      </c>
      <c r="B4" s="21">
        <f>Income_clean!E3</f>
        <v>220960000000</v>
      </c>
      <c r="C4" s="21">
        <f>C2*C3</f>
        <v>232008000000.00003</v>
      </c>
      <c r="D4" s="21">
        <f>D2*C3</f>
        <v>243608400000.00003</v>
      </c>
      <c r="E4" s="21">
        <f>E2*D3</f>
        <v>255788820000.00003</v>
      </c>
      <c r="F4" s="21">
        <f>F2*E3</f>
        <v>268578261000.00003</v>
      </c>
      <c r="G4" s="21">
        <f>G2*F3</f>
        <v>282007174050</v>
      </c>
      <c r="H4" s="3"/>
      <c r="I4" s="33">
        <v>2028</v>
      </c>
      <c r="J4" s="34">
        <f>E2</f>
        <v>481758377625</v>
      </c>
      <c r="K4" s="34">
        <f>E9</f>
        <v>167746808250</v>
      </c>
      <c r="L4" s="3"/>
    </row>
    <row r="5" spans="1:12" x14ac:dyDescent="0.3">
      <c r="A5" s="11" t="s">
        <v>217</v>
      </c>
      <c r="B5" s="15">
        <f>B6/B2</f>
        <v>0.46905164107160452</v>
      </c>
      <c r="C5" s="15">
        <f t="shared" ref="C5:G5" si="1">C6/C2</f>
        <v>0.46905164107160441</v>
      </c>
      <c r="D5" s="15">
        <f t="shared" si="1"/>
        <v>0.46905164107160441</v>
      </c>
      <c r="E5" s="15">
        <f t="shared" si="1"/>
        <v>0.46905164107160441</v>
      </c>
      <c r="F5" s="15">
        <f t="shared" si="1"/>
        <v>0.46905164107160446</v>
      </c>
      <c r="G5" s="15">
        <f t="shared" si="1"/>
        <v>0.46905164107160452</v>
      </c>
      <c r="I5" s="13">
        <v>2029</v>
      </c>
      <c r="J5" s="32">
        <f>F2</f>
        <v>505846296506.25</v>
      </c>
      <c r="K5" s="32">
        <f>F9</f>
        <v>176134148662.5</v>
      </c>
    </row>
    <row r="6" spans="1:12" x14ac:dyDescent="0.3">
      <c r="A6" s="20" t="s">
        <v>193</v>
      </c>
      <c r="B6" s="21">
        <f>B2-B4</f>
        <v>195201000000</v>
      </c>
      <c r="C6" s="21">
        <f t="shared" ref="C6:G6" si="2">C2-C4</f>
        <v>204961049999.99997</v>
      </c>
      <c r="D6" s="21">
        <f t="shared" si="2"/>
        <v>215209102499.99997</v>
      </c>
      <c r="E6" s="21">
        <f t="shared" si="2"/>
        <v>225969557624.99997</v>
      </c>
      <c r="F6" s="21">
        <f t="shared" si="2"/>
        <v>237268035506.24997</v>
      </c>
      <c r="G6" s="21">
        <f t="shared" si="2"/>
        <v>249131437281.5625</v>
      </c>
      <c r="I6" s="33">
        <v>2030</v>
      </c>
      <c r="J6" s="34">
        <f>G2</f>
        <v>531138611331.5625</v>
      </c>
      <c r="K6" s="34">
        <f>G9</f>
        <v>184940856095.625</v>
      </c>
    </row>
    <row r="7" spans="1:12" x14ac:dyDescent="0.3">
      <c r="A7" s="11" t="s">
        <v>189</v>
      </c>
      <c r="B7" s="10">
        <f>Income_clean!E11</f>
        <v>133050000000</v>
      </c>
      <c r="C7" s="10">
        <f>C2*C8</f>
        <v>139702500000</v>
      </c>
      <c r="D7" s="10">
        <f>D2*D8</f>
        <v>146687625000</v>
      </c>
      <c r="E7" s="10">
        <f>E2*E8</f>
        <v>154022006250</v>
      </c>
      <c r="F7" s="10">
        <f>F2*F8</f>
        <v>161723106562.5</v>
      </c>
      <c r="G7" s="10">
        <f>G2*G8</f>
        <v>169809261890.625</v>
      </c>
    </row>
    <row r="8" spans="1:12" x14ac:dyDescent="0.3">
      <c r="A8" s="20" t="s">
        <v>218</v>
      </c>
      <c r="B8" s="22">
        <f>B7/B2</f>
        <v>0.31970799762591884</v>
      </c>
      <c r="C8" s="22">
        <f>B7/B2</f>
        <v>0.31970799762591884</v>
      </c>
      <c r="D8" s="22">
        <f>C7/C2</f>
        <v>0.31970799762591884</v>
      </c>
      <c r="E8" s="22">
        <f>D7/D2</f>
        <v>0.31970799762591884</v>
      </c>
      <c r="F8" s="22">
        <f>E7/E2</f>
        <v>0.31970799762591884</v>
      </c>
      <c r="G8" s="22">
        <f>F7/F2</f>
        <v>0.31970799762591884</v>
      </c>
      <c r="I8" s="35" t="s">
        <v>197</v>
      </c>
      <c r="J8" s="19">
        <f>_xlfn.XLOOKUP($K$9,$I$2:$I$6,J2:J6)</f>
        <v>505846296506.25</v>
      </c>
      <c r="K8" s="36" t="s">
        <v>219</v>
      </c>
    </row>
    <row r="9" spans="1:12" x14ac:dyDescent="0.3">
      <c r="A9" s="11" t="s">
        <v>216</v>
      </c>
      <c r="B9" s="10">
        <f>KPI!E6</f>
        <v>144906000000</v>
      </c>
      <c r="C9" s="10">
        <f>C2*C10</f>
        <v>152151300000</v>
      </c>
      <c r="D9" s="10">
        <f>D2*D10</f>
        <v>159758865000</v>
      </c>
      <c r="E9" s="10">
        <f>E2*E10</f>
        <v>167746808250</v>
      </c>
      <c r="F9" s="10">
        <f>F2*F10</f>
        <v>176134148662.5</v>
      </c>
      <c r="G9" s="10">
        <f>G2*G10</f>
        <v>184940856095.625</v>
      </c>
      <c r="I9" s="35" t="s">
        <v>84</v>
      </c>
      <c r="J9" s="19">
        <f>_xlfn.XLOOKUP($K$9,$I$2:$I$6,K2:K6)</f>
        <v>176134148662.5</v>
      </c>
      <c r="K9" s="9">
        <v>2029</v>
      </c>
    </row>
    <row r="10" spans="1:12" x14ac:dyDescent="0.3">
      <c r="A10" s="20" t="s">
        <v>215</v>
      </c>
      <c r="B10" s="22">
        <f>B9/B2</f>
        <v>0.34819697184503112</v>
      </c>
      <c r="C10" s="22">
        <f>B9/B2</f>
        <v>0.34819697184503112</v>
      </c>
      <c r="D10" s="22">
        <f>C9/C2</f>
        <v>0.34819697184503112</v>
      </c>
      <c r="E10" s="22">
        <f>D9/D2</f>
        <v>0.34819697184503112</v>
      </c>
      <c r="F10" s="22">
        <f>E9/E2</f>
        <v>0.34819697184503112</v>
      </c>
      <c r="G10" s="22">
        <f>F9/F2</f>
        <v>0.34819697184503112</v>
      </c>
    </row>
    <row r="16" spans="1:12" x14ac:dyDescent="0.3">
      <c r="A16" s="7"/>
      <c r="B16" s="7"/>
      <c r="C16" s="7"/>
    </row>
    <row r="17" spans="1:8" x14ac:dyDescent="0.3">
      <c r="A17" s="28"/>
      <c r="B17" s="29"/>
      <c r="C17" s="29"/>
      <c r="H17" s="27"/>
    </row>
    <row r="18" spans="1:8" x14ac:dyDescent="0.3">
      <c r="A18" s="28"/>
      <c r="B18" s="29"/>
      <c r="C18" s="29"/>
    </row>
    <row r="19" spans="1:8" x14ac:dyDescent="0.3">
      <c r="A19" s="28"/>
      <c r="B19" s="29"/>
      <c r="C19" s="29"/>
    </row>
    <row r="20" spans="1:8" x14ac:dyDescent="0.3">
      <c r="A20" s="28"/>
      <c r="B20" s="29"/>
      <c r="C20" s="29"/>
    </row>
    <row r="21" spans="1:8" x14ac:dyDescent="0.3">
      <c r="A21" s="28"/>
      <c r="B21" s="29"/>
      <c r="C21" s="29"/>
    </row>
    <row r="24" spans="1:8" x14ac:dyDescent="0.3">
      <c r="C24" s="30"/>
    </row>
    <row r="25" spans="1:8" x14ac:dyDescent="0.3">
      <c r="C25" s="30"/>
    </row>
  </sheetData>
  <dataValidations count="1">
    <dataValidation type="list" allowBlank="1" showInputMessage="1" showErrorMessage="1" sqref="H18 K9" xr:uid="{7769EFDE-66A3-4F73-9F8A-67B8774F58C4}">
      <formula1>$C$1:$G$1</formula1>
    </dataValidation>
  </dataValidations>
  <pageMargins left="0.7" right="0.7" top="0.75" bottom="0.75" header="0.3" footer="0.3"/>
  <ignoredErrors>
    <ignoredError sqref="C3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E873-2580-413B-96BB-C9EA1DC89D22}">
  <dimension ref="A1"/>
  <sheetViews>
    <sheetView tabSelected="1" workbookViewId="0">
      <selection activeCell="S16" sqref="S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Balance_raw</vt:lpstr>
      <vt:lpstr>Cashflow_raw</vt:lpstr>
      <vt:lpstr>Income_raw</vt:lpstr>
      <vt:lpstr>Balance_clean</vt:lpstr>
      <vt:lpstr>Cashflow_clean</vt:lpstr>
      <vt:lpstr>Income_clean</vt:lpstr>
      <vt:lpstr>KPI</vt:lpstr>
      <vt:lpstr>Forecast + Dynamic Dashboard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Ajmeri</dc:creator>
  <cp:lastModifiedBy>Yasir Ajmeri</cp:lastModifiedBy>
  <dcterms:created xsi:type="dcterms:W3CDTF">2025-12-16T21:17:05Z</dcterms:created>
  <dcterms:modified xsi:type="dcterms:W3CDTF">2026-01-01T07:23:52Z</dcterms:modified>
</cp:coreProperties>
</file>